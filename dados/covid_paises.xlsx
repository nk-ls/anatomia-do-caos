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íses" sheetId="1" r:id="rId5"/>
    <sheet state="visible" name="Fontes e notas" sheetId="2" r:id="rId6"/>
  </sheets>
  <definedNames>
    <definedName hidden="1" localSheetId="0" name="_xlnm._FilterDatabase">'Países'!$A$1:$V$235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 mortes confirmadas / população × 100.000. Fonte: Our World in Data (base arquivada em 04/08/2024).</t>
      </text>
    </comment>
    <comment authorId="0" ref="J1">
      <text>
        <t xml:space="preserve">Excesso de mortes estimado pelo modelo do The Economist (todas as causas acima do esperado), por 100 mil habitantes, acumulado até 31/12/2021.</t>
      </text>
    </comment>
    <comment authorId="0" ref="O1">
      <text>
        <t xml:space="preserve">Primeira data com doses registradas na Our World in Data. Para 16 países (Reino Unido, Rússia, EUA, Canadá, Israel, México, Chile, Costa Rica, Argentina, Alemanha, França, Itália, Espanha, Índia, Letônia, Brasil) a data oficial de início da campanha foi conferida e usada no lugar.</t>
      </text>
    </comment>
  </commentList>
</comments>
</file>

<file path=xl/sharedStrings.xml><?xml version="1.0" encoding="utf-8"?>
<sst xmlns="http://schemas.openxmlformats.org/spreadsheetml/2006/main" count="736" uniqueCount="508">
  <si>
    <t>Fontes e notas</t>
  </si>
  <si>
    <t>País</t>
  </si>
  <si>
    <t>Mortes confirmadas, população, continente, idade mediana, PIB per capita e cobertura vacinal: Our World in Data, base COVID-19 arquivada (última atualização 04/08/2024). https://github.com/owid/covid-19-data</t>
  </si>
  <si>
    <t>Datas de vacinação: Our World in Data, arquivo vaccinations.csv (primeira data com doses registradas por país). Para 16 países a data oficial de início da campanha foi conferida e substituída (ver comentário na coluna O).</t>
  </si>
  <si>
    <t>Excesso de mortes: The Economist, modelo global de excesso de mortes (estimativa central e intervalo de 95%), arquivo export_country_cumulative.csv, cortes em 31/12/2021, 31/12/2022 e última data disponível (jun/2024). https://github.com/TheEconomist/covid-19-the-economist-global-excess-deaths-model</t>
  </si>
  <si>
    <t>Área: samayo/country-json (country-by-surface-area), complementado manualmente para 10 territórios pequenos (Montenegro, Costa do Marfim, Curaçao, Sint Maarten, Bonaire, Jersey, Guernsey, Ilha de Man, Saint-Martin, Saint-Barthélemy).</t>
  </si>
  <si>
    <t>Como ler</t>
  </si>
  <si>
    <t>Mortes por 100 mil = mortes confirmadas ÷ população × 100.000. Confirmadas dependem de testagem e registro; o excesso de mortes é a medida mais comparável entre países.</t>
  </si>
  <si>
    <t>ISO3</t>
  </si>
  <si>
    <t>Rankings consideram só os 158 países com 1 milhão ou mais de habitantes, para não misturar microestados e territórios.</t>
  </si>
  <si>
    <t>Continente</t>
  </si>
  <si>
    <t>Área (km²)</t>
  </si>
  <si>
    <t>Dias após o 1º país = diferença entre a 1ª dose no país e a 1ª dose no Reino Unido (08/12/2020). Rússia aparece com -3 porque Moscou começou em 05/12/2020.</t>
  </si>
  <si>
    <t>População (2022)</t>
  </si>
  <si>
    <t>Esquema completo = pessoas com o ciclo inicial completo, em % da população total, na data indicada (último valor disponível até a data).</t>
  </si>
  <si>
    <t>Densidade (hab/km²)</t>
  </si>
  <si>
    <t>Células em branco = dado não disponível na fonte. Fórmulas (colunas F, H, I, K, P) recalculam se os dados de entrada mudarem.</t>
  </si>
  <si>
    <t>Mortes confirmadas (ago/2024)</t>
  </si>
  <si>
    <t>Planilha gerada em 24/10/2026 para o projeto de post da Knsa sobre Covid no Brasil.</t>
  </si>
  <si>
    <t>Mortes por 100 mil hab.</t>
  </si>
  <si>
    <t>Rank mortes/100 mil (países 1 mi+)</t>
  </si>
  <si>
    <t>Excesso de mortes por 100 mil até 31/12/2021 (est.)</t>
  </si>
  <si>
    <t>Rank excesso até 2021 (1 mi+)</t>
  </si>
  <si>
    <t>Excesso por 100 mil até 31/12/2022 (est.)</t>
  </si>
  <si>
    <t>Excesso de mortes acumulado (est., jun/2024)</t>
  </si>
  <si>
    <t>Excesso por 100 mil acumulado (est.)</t>
  </si>
  <si>
    <t>1ª dose (início da vacinação)</t>
  </si>
  <si>
    <t>Dias após o 1º país (Reino Unido, 08/12/2020)</t>
  </si>
  <si>
    <t>Esquema completo em 30/06/2021 (%)</t>
  </si>
  <si>
    <t>Esquema completo em 31/12/2021 (%)</t>
  </si>
  <si>
    <t>Data em que chegou a 50% completo</t>
  </si>
  <si>
    <t>Data em que chegou a 70% completo</t>
  </si>
  <si>
    <t>Idade mediana</t>
  </si>
  <si>
    <t>PIB per capita (US$ PPC)</t>
  </si>
  <si>
    <t>Peru</t>
  </si>
  <si>
    <t>PER</t>
  </si>
  <si>
    <t>América do Sul</t>
  </si>
  <si>
    <t>Bulgaria</t>
  </si>
  <si>
    <t>BGR</t>
  </si>
  <si>
    <t>Europa</t>
  </si>
  <si>
    <t>Bosnia and Herzegovina</t>
  </si>
  <si>
    <t>BIH</t>
  </si>
  <si>
    <t>Hungary</t>
  </si>
  <si>
    <t>HUN</t>
  </si>
  <si>
    <t>North Macedonia</t>
  </si>
  <si>
    <t>MKD</t>
  </si>
  <si>
    <t>Slovenia</t>
  </si>
  <si>
    <t>SVN</t>
  </si>
  <si>
    <t>Croatia</t>
  </si>
  <si>
    <t>HRV</t>
  </si>
  <si>
    <t>Georgia</t>
  </si>
  <si>
    <t>GEO</t>
  </si>
  <si>
    <t>Ásia</t>
  </si>
  <si>
    <t>Montenegro</t>
  </si>
  <si>
    <t>MNE</t>
  </si>
  <si>
    <t>Czechia</t>
  </si>
  <si>
    <t>CZE</t>
  </si>
  <si>
    <t>Latvia</t>
  </si>
  <si>
    <t>LVA</t>
  </si>
  <si>
    <t>Greece</t>
  </si>
  <si>
    <t>GRC</t>
  </si>
  <si>
    <t>Slovakia</t>
  </si>
  <si>
    <t>SVK</t>
  </si>
  <si>
    <t>Moldova</t>
  </si>
  <si>
    <t>MDA</t>
  </si>
  <si>
    <t>San Marino</t>
  </si>
  <si>
    <t>SMR</t>
  </si>
  <si>
    <t>Lithuania</t>
  </si>
  <si>
    <t>LTU</t>
  </si>
  <si>
    <t>United States</t>
  </si>
  <si>
    <t>USA</t>
  </si>
  <si>
    <t>América do Norte</t>
  </si>
  <si>
    <t>Romania</t>
  </si>
  <si>
    <t>ROU</t>
  </si>
  <si>
    <t>Gibraltar</t>
  </si>
  <si>
    <t>GIB</t>
  </si>
  <si>
    <t>United Kingdom</t>
  </si>
  <si>
    <t>GBR</t>
  </si>
  <si>
    <t>Italy</t>
  </si>
  <si>
    <t>ITA</t>
  </si>
  <si>
    <t>Brazil</t>
  </si>
  <si>
    <t>BRA</t>
  </si>
  <si>
    <t>Chile</t>
  </si>
  <si>
    <t>CHL</t>
  </si>
  <si>
    <t>Armenia</t>
  </si>
  <si>
    <t>ARM</t>
  </si>
  <si>
    <t>Poland</t>
  </si>
  <si>
    <t>POL</t>
  </si>
  <si>
    <t>Martinique</t>
  </si>
  <si>
    <t>MTQ</t>
  </si>
  <si>
    <t>Belgium</t>
  </si>
  <si>
    <t>BEL</t>
  </si>
  <si>
    <t>Paraguay</t>
  </si>
  <si>
    <t>PRY</t>
  </si>
  <si>
    <t>Argentina</t>
  </si>
  <si>
    <t>ARG</t>
  </si>
  <si>
    <t>Trinidad and Tobago</t>
  </si>
  <si>
    <t>TTO</t>
  </si>
  <si>
    <t>Portugal</t>
  </si>
  <si>
    <t>PRT</t>
  </si>
  <si>
    <t>Russia</t>
  </si>
  <si>
    <t>RUS</t>
  </si>
  <si>
    <t>Ukraine</t>
  </si>
  <si>
    <t>UKR</t>
  </si>
  <si>
    <t>Colombia</t>
  </si>
  <si>
    <t>COL</t>
  </si>
  <si>
    <t>Aruba</t>
  </si>
  <si>
    <t>ABW</t>
  </si>
  <si>
    <t>Serbia</t>
  </si>
  <si>
    <t>SRB</t>
  </si>
  <si>
    <t>Mexico</t>
  </si>
  <si>
    <t>MEX</t>
  </si>
  <si>
    <t>Sweden</t>
  </si>
  <si>
    <t>SWE</t>
  </si>
  <si>
    <t>Guadeloupe</t>
  </si>
  <si>
    <t>GLP</t>
  </si>
  <si>
    <t>Bermuda</t>
  </si>
  <si>
    <t>BMU</t>
  </si>
  <si>
    <t>Spain</t>
  </si>
  <si>
    <t>ESP</t>
  </si>
  <si>
    <t>Austria</t>
  </si>
  <si>
    <t>AUT</t>
  </si>
  <si>
    <t>France</t>
  </si>
  <si>
    <t>FRA</t>
  </si>
  <si>
    <t>Guam</t>
  </si>
  <si>
    <t>GUM</t>
  </si>
  <si>
    <t>Oceania</t>
  </si>
  <si>
    <t>Tunisia</t>
  </si>
  <si>
    <t>TUN</t>
  </si>
  <si>
    <t>África</t>
  </si>
  <si>
    <t>Saint Lucia</t>
  </si>
  <si>
    <t>LCA</t>
  </si>
  <si>
    <t>Suriname</t>
  </si>
  <si>
    <t>SUR</t>
  </si>
  <si>
    <t>Estonia</t>
  </si>
  <si>
    <t>EST</t>
  </si>
  <si>
    <t>Liechtenstein</t>
  </si>
  <si>
    <t>LIE</t>
  </si>
  <si>
    <t>Uruguay</t>
  </si>
  <si>
    <t>URY</t>
  </si>
  <si>
    <t>French Polynesia</t>
  </si>
  <si>
    <t>PYF</t>
  </si>
  <si>
    <t>Barbados</t>
  </si>
  <si>
    <t>BRB</t>
  </si>
  <si>
    <t>Germany</t>
  </si>
  <si>
    <t>DEU</t>
  </si>
  <si>
    <t>Sint Maarten (Dutch part)</t>
  </si>
  <si>
    <t>SXM</t>
  </si>
  <si>
    <t>Bahamas</t>
  </si>
  <si>
    <t>BHS</t>
  </si>
  <si>
    <t>Finland</t>
  </si>
  <si>
    <t>FIN</t>
  </si>
  <si>
    <t>British Virgin Islands</t>
  </si>
  <si>
    <t>VGB</t>
  </si>
  <si>
    <t>Ecuador</t>
  </si>
  <si>
    <t>ECU</t>
  </si>
  <si>
    <t>Lebanon</t>
  </si>
  <si>
    <t>LBN</t>
  </si>
  <si>
    <t>Andorra</t>
  </si>
  <si>
    <t>AND</t>
  </si>
  <si>
    <t>Panama</t>
  </si>
  <si>
    <t>PAN</t>
  </si>
  <si>
    <t>Ireland</t>
  </si>
  <si>
    <t>IRL</t>
  </si>
  <si>
    <t>Grenada</t>
  </si>
  <si>
    <t>GRD</t>
  </si>
  <si>
    <t>Monaco</t>
  </si>
  <si>
    <t>MCO</t>
  </si>
  <si>
    <t>Bolivia</t>
  </si>
  <si>
    <t>BOL</t>
  </si>
  <si>
    <t>Puerto Rico</t>
  </si>
  <si>
    <t>PRI</t>
  </si>
  <si>
    <t>Montserrat</t>
  </si>
  <si>
    <t>MSR</t>
  </si>
  <si>
    <t>Costa Rica</t>
  </si>
  <si>
    <t>CRI</t>
  </si>
  <si>
    <t>Malta</t>
  </si>
  <si>
    <t>MLT</t>
  </si>
  <si>
    <t>South Africa</t>
  </si>
  <si>
    <t>ZAF</t>
  </si>
  <si>
    <t>Belize</t>
  </si>
  <si>
    <t>BLZ</t>
  </si>
  <si>
    <t>Iran</t>
  </si>
  <si>
    <t>IRN</t>
  </si>
  <si>
    <t>Denmark</t>
  </si>
  <si>
    <t>DNK</t>
  </si>
  <si>
    <t>Switzerland</t>
  </si>
  <si>
    <t>CHE</t>
  </si>
  <si>
    <t>Cyprus</t>
  </si>
  <si>
    <t>CYP</t>
  </si>
  <si>
    <t>Guyana</t>
  </si>
  <si>
    <t>GUY</t>
  </si>
  <si>
    <t>Seychelles</t>
  </si>
  <si>
    <t>SYC</t>
  </si>
  <si>
    <t>Namibia</t>
  </si>
  <si>
    <t>NAM</t>
  </si>
  <si>
    <t>Curacao</t>
  </si>
  <si>
    <t>CUW</t>
  </si>
  <si>
    <t>Antigua and Barbuda</t>
  </si>
  <si>
    <t>ATG</t>
  </si>
  <si>
    <t>Luxembourg</t>
  </si>
  <si>
    <t>LUX</t>
  </si>
  <si>
    <t>Bonaire Sint Eustatius and Saba</t>
  </si>
  <si>
    <t>BES</t>
  </si>
  <si>
    <t>Jersey</t>
  </si>
  <si>
    <t>JEY</t>
  </si>
  <si>
    <t>Saint Martin (French part)</t>
  </si>
  <si>
    <t>MAF</t>
  </si>
  <si>
    <t>Canada</t>
  </si>
  <si>
    <t>CAN</t>
  </si>
  <si>
    <t>Isle of Man</t>
  </si>
  <si>
    <t>IMN</t>
  </si>
  <si>
    <t>French Guiana</t>
  </si>
  <si>
    <t>GUF</t>
  </si>
  <si>
    <t>Israel</t>
  </si>
  <si>
    <t>ISR</t>
  </si>
  <si>
    <t>United States Virgin Islands</t>
  </si>
  <si>
    <t>VIR</t>
  </si>
  <si>
    <t>Netherlands</t>
  </si>
  <si>
    <t>NLD</t>
  </si>
  <si>
    <t>Jamaica</t>
  </si>
  <si>
    <t>JAM</t>
  </si>
  <si>
    <t>Albania</t>
  </si>
  <si>
    <t>ALB</t>
  </si>
  <si>
    <t>Jordan</t>
  </si>
  <si>
    <t>JOR</t>
  </si>
  <si>
    <t>Saint Vincent and the Grenadines</t>
  </si>
  <si>
    <t>VCT</t>
  </si>
  <si>
    <t>Turkey</t>
  </si>
  <si>
    <t>TUR</t>
  </si>
  <si>
    <t>Eswatini</t>
  </si>
  <si>
    <t>SWZ</t>
  </si>
  <si>
    <t>Guatemala</t>
  </si>
  <si>
    <t>GTM</t>
  </si>
  <si>
    <t>Malaysia</t>
  </si>
  <si>
    <t>MYS</t>
  </si>
  <si>
    <t>Palestine</t>
  </si>
  <si>
    <t>PSE</t>
  </si>
  <si>
    <t>New Caledonia</t>
  </si>
  <si>
    <t>NCL</t>
  </si>
  <si>
    <t>Botswana</t>
  </si>
  <si>
    <t>BWA</t>
  </si>
  <si>
    <t>Honduras</t>
  </si>
  <si>
    <t>HND</t>
  </si>
  <si>
    <t>Guernsey</t>
  </si>
  <si>
    <t>GGY</t>
  </si>
  <si>
    <t>Norway</t>
  </si>
  <si>
    <t>NOR</t>
  </si>
  <si>
    <t>Bahrain</t>
  </si>
  <si>
    <t>BHR</t>
  </si>
  <si>
    <t>Dominica</t>
  </si>
  <si>
    <t>DMA</t>
  </si>
  <si>
    <t>Oman</t>
  </si>
  <si>
    <t>OMN</t>
  </si>
  <si>
    <t>Azerbaijan</t>
  </si>
  <si>
    <t>AZE</t>
  </si>
  <si>
    <t>Kazakhstan</t>
  </si>
  <si>
    <t>KAZ</t>
  </si>
  <si>
    <t>Saint Kitts and Nevis</t>
  </si>
  <si>
    <t>KNA</t>
  </si>
  <si>
    <t>Australia</t>
  </si>
  <si>
    <t>AUS</t>
  </si>
  <si>
    <t>Fiji</t>
  </si>
  <si>
    <t>FJI</t>
  </si>
  <si>
    <t>Reunion</t>
  </si>
  <si>
    <t>REU</t>
  </si>
  <si>
    <t>Libya</t>
  </si>
  <si>
    <t>LBY</t>
  </si>
  <si>
    <t>Turks and Caicos Islands</t>
  </si>
  <si>
    <t>TCA</t>
  </si>
  <si>
    <t>Northern Mariana Islands</t>
  </si>
  <si>
    <t>MNP</t>
  </si>
  <si>
    <t>New Zealand</t>
  </si>
  <si>
    <t>NZL</t>
  </si>
  <si>
    <t>Mauritius</t>
  </si>
  <si>
    <t>MUS</t>
  </si>
  <si>
    <t>Wallis and Futuna</t>
  </si>
  <si>
    <t>WLF</t>
  </si>
  <si>
    <t>Sri Lanka</t>
  </si>
  <si>
    <t>LKA</t>
  </si>
  <si>
    <t>American Samoa</t>
  </si>
  <si>
    <t>ASM</t>
  </si>
  <si>
    <t>Cuba</t>
  </si>
  <si>
    <t>CUB</t>
  </si>
  <si>
    <t>Anguilla</t>
  </si>
  <si>
    <t>AIA</t>
  </si>
  <si>
    <t>Belarus</t>
  </si>
  <si>
    <t>BLR</t>
  </si>
  <si>
    <t>Cape Verde</t>
  </si>
  <si>
    <t>CPV</t>
  </si>
  <si>
    <t>South Korea</t>
  </si>
  <si>
    <t>KOR</t>
  </si>
  <si>
    <t>El Salvador</t>
  </si>
  <si>
    <t>SLV</t>
  </si>
  <si>
    <t>Mongolia</t>
  </si>
  <si>
    <t>MNG</t>
  </si>
  <si>
    <t>Maldives</t>
  </si>
  <si>
    <t>MDV</t>
  </si>
  <si>
    <t>Japan</t>
  </si>
  <si>
    <t>JPN</t>
  </si>
  <si>
    <t>Kuwait</t>
  </si>
  <si>
    <t>KWT</t>
  </si>
  <si>
    <t>Indonesia</t>
  </si>
  <si>
    <t>IDN</t>
  </si>
  <si>
    <t>Philippines</t>
  </si>
  <si>
    <t>PHL</t>
  </si>
  <si>
    <t>Mayotte</t>
  </si>
  <si>
    <t>MYT</t>
  </si>
  <si>
    <t>Iraq</t>
  </si>
  <si>
    <t>IRQ</t>
  </si>
  <si>
    <t>Micronesia (country)</t>
  </si>
  <si>
    <t>FSM</t>
  </si>
  <si>
    <t>Palau</t>
  </si>
  <si>
    <t>PLW</t>
  </si>
  <si>
    <t>Cayman Islands</t>
  </si>
  <si>
    <t>CYM</t>
  </si>
  <si>
    <t>Faroe Islands</t>
  </si>
  <si>
    <t>FRO</t>
  </si>
  <si>
    <t>Iceland</t>
  </si>
  <si>
    <t>ISL</t>
  </si>
  <si>
    <t>Thailand</t>
  </si>
  <si>
    <t>THA</t>
  </si>
  <si>
    <t>Saint Barthelemy</t>
  </si>
  <si>
    <t>BLM</t>
  </si>
  <si>
    <t>Vietnam</t>
  </si>
  <si>
    <t>VNM</t>
  </si>
  <si>
    <t>Morocco</t>
  </si>
  <si>
    <t>MAR</t>
  </si>
  <si>
    <t>Marshall Islands</t>
  </si>
  <si>
    <t>MHL</t>
  </si>
  <si>
    <t>Brunei</t>
  </si>
  <si>
    <t>BRN</t>
  </si>
  <si>
    <t>Nepal</t>
  </si>
  <si>
    <t>NPL</t>
  </si>
  <si>
    <t>Dominican Republic</t>
  </si>
  <si>
    <t>DOM</t>
  </si>
  <si>
    <t>India</t>
  </si>
  <si>
    <t>IND</t>
  </si>
  <si>
    <t>Greenland</t>
  </si>
  <si>
    <t>GRL</t>
  </si>
  <si>
    <t>Myanmar</t>
  </si>
  <si>
    <t>MMR</t>
  </si>
  <si>
    <t>Singapore</t>
  </si>
  <si>
    <t>SGP</t>
  </si>
  <si>
    <t>Sao Tome and Principe</t>
  </si>
  <si>
    <t>STP</t>
  </si>
  <si>
    <t>Zimbabwe</t>
  </si>
  <si>
    <t>ZWE</t>
  </si>
  <si>
    <t>Saint Pierre and Miquelon</t>
  </si>
  <si>
    <t>SPM</t>
  </si>
  <si>
    <t>Lesotho</t>
  </si>
  <si>
    <t>LSO</t>
  </si>
  <si>
    <t>Solomon Islands</t>
  </si>
  <si>
    <t>SLB</t>
  </si>
  <si>
    <t>Saudi Arabia</t>
  </si>
  <si>
    <t>SAU</t>
  </si>
  <si>
    <t>Qatar</t>
  </si>
  <si>
    <t>QAT</t>
  </si>
  <si>
    <t>United Arab Emirates</t>
  </si>
  <si>
    <t>ARE</t>
  </si>
  <si>
    <t>Egypt</t>
  </si>
  <si>
    <t>EGY</t>
  </si>
  <si>
    <t>Mauritania</t>
  </si>
  <si>
    <t>MRT</t>
  </si>
  <si>
    <t>Venezuela</t>
  </si>
  <si>
    <t>VEN</t>
  </si>
  <si>
    <t>Zambia</t>
  </si>
  <si>
    <t>ZMB</t>
  </si>
  <si>
    <t>Afghanistan</t>
  </si>
  <si>
    <t>AFG</t>
  </si>
  <si>
    <t>Comoros</t>
  </si>
  <si>
    <t>COM</t>
  </si>
  <si>
    <t>Kiribati</t>
  </si>
  <si>
    <t>KIR</t>
  </si>
  <si>
    <t>Cambodia</t>
  </si>
  <si>
    <t>KHM</t>
  </si>
  <si>
    <t>Bangladesh</t>
  </si>
  <si>
    <t>BGD</t>
  </si>
  <si>
    <t>Djibouti</t>
  </si>
  <si>
    <t>DJI</t>
  </si>
  <si>
    <t>Kyrgyzstan</t>
  </si>
  <si>
    <t>KGZ</t>
  </si>
  <si>
    <t>Algeria</t>
  </si>
  <si>
    <t>DZA</t>
  </si>
  <si>
    <t>Syria</t>
  </si>
  <si>
    <t>SYR</t>
  </si>
  <si>
    <t>Samoa</t>
  </si>
  <si>
    <t>WSM</t>
  </si>
  <si>
    <t>Gambia</t>
  </si>
  <si>
    <t>GMB</t>
  </si>
  <si>
    <t>Malawi</t>
  </si>
  <si>
    <t>MWI</t>
  </si>
  <si>
    <t>Pakistan</t>
  </si>
  <si>
    <t>PAK</t>
  </si>
  <si>
    <t>Gabon</t>
  </si>
  <si>
    <t>GAB</t>
  </si>
  <si>
    <t>Cook Islands</t>
  </si>
  <si>
    <t>COK</t>
  </si>
  <si>
    <t>Senegal</t>
  </si>
  <si>
    <t>SEN</t>
  </si>
  <si>
    <t>Tonga</t>
  </si>
  <si>
    <t>TON</t>
  </si>
  <si>
    <t>Equatorial Guinea</t>
  </si>
  <si>
    <t>GNQ</t>
  </si>
  <si>
    <t>Sudan</t>
  </si>
  <si>
    <t>SDN</t>
  </si>
  <si>
    <t>Rwanda</t>
  </si>
  <si>
    <t>RWA</t>
  </si>
  <si>
    <t>Kenya</t>
  </si>
  <si>
    <t>KEN</t>
  </si>
  <si>
    <t>East Timor</t>
  </si>
  <si>
    <t>TLS</t>
  </si>
  <si>
    <t>Laos</t>
  </si>
  <si>
    <t>LAO</t>
  </si>
  <si>
    <t>Tuvalu</t>
  </si>
  <si>
    <t>TUV</t>
  </si>
  <si>
    <t>China</t>
  </si>
  <si>
    <t>CHN</t>
  </si>
  <si>
    <t>Guinea-Bissau</t>
  </si>
  <si>
    <t>GNB</t>
  </si>
  <si>
    <t>Nauru</t>
  </si>
  <si>
    <t>NRU</t>
  </si>
  <si>
    <t>Somalia</t>
  </si>
  <si>
    <t>SOM</t>
  </si>
  <si>
    <t>Uganda</t>
  </si>
  <si>
    <t>UGA</t>
  </si>
  <si>
    <t>Haiti</t>
  </si>
  <si>
    <t>HTI</t>
  </si>
  <si>
    <t>Cameroon</t>
  </si>
  <si>
    <t>CMR</t>
  </si>
  <si>
    <t>Mozambique</t>
  </si>
  <si>
    <t>MOZ</t>
  </si>
  <si>
    <t>Papua New Guinea</t>
  </si>
  <si>
    <t>PNG</t>
  </si>
  <si>
    <t>Congo</t>
  </si>
  <si>
    <t>COG</t>
  </si>
  <si>
    <t>Yemen</t>
  </si>
  <si>
    <t>YEM</t>
  </si>
  <si>
    <t>Ethiopia</t>
  </si>
  <si>
    <t>ETH</t>
  </si>
  <si>
    <t>Liberia</t>
  </si>
  <si>
    <t>LBR</t>
  </si>
  <si>
    <t>Angola</t>
  </si>
  <si>
    <t>AGO</t>
  </si>
  <si>
    <t>Madagascar</t>
  </si>
  <si>
    <t>MDG</t>
  </si>
  <si>
    <t>Ghana</t>
  </si>
  <si>
    <t>GHA</t>
  </si>
  <si>
    <t>Vanuatu</t>
  </si>
  <si>
    <t>VUT</t>
  </si>
  <si>
    <t>Nicaragua</t>
  </si>
  <si>
    <t>NIC</t>
  </si>
  <si>
    <t>Guinea</t>
  </si>
  <si>
    <t>GIN</t>
  </si>
  <si>
    <t>Togo</t>
  </si>
  <si>
    <t>TGO</t>
  </si>
  <si>
    <t>Mali</t>
  </si>
  <si>
    <t>MLI</t>
  </si>
  <si>
    <t>Cote d'Ivoire</t>
  </si>
  <si>
    <t>CIV</t>
  </si>
  <si>
    <t>Uzbekistan</t>
  </si>
  <si>
    <t>UZB</t>
  </si>
  <si>
    <t>Eritrea</t>
  </si>
  <si>
    <t>ERI</t>
  </si>
  <si>
    <t>Bhutan</t>
  </si>
  <si>
    <t>BTN</t>
  </si>
  <si>
    <t>Central African Republic</t>
  </si>
  <si>
    <t>CAF</t>
  </si>
  <si>
    <t>Burkina Faso</t>
  </si>
  <si>
    <t>BFA</t>
  </si>
  <si>
    <t>Democratic Republic of Congo</t>
  </si>
  <si>
    <t>COD</t>
  </si>
  <si>
    <t>Sierra Leone</t>
  </si>
  <si>
    <t>SLE</t>
  </si>
  <si>
    <t>Nigeria</t>
  </si>
  <si>
    <t>NGA</t>
  </si>
  <si>
    <t>South Sudan</t>
  </si>
  <si>
    <t>SSD</t>
  </si>
  <si>
    <t>Tanzania</t>
  </si>
  <si>
    <t>TZA</t>
  </si>
  <si>
    <t>Tajikistan</t>
  </si>
  <si>
    <t>TJK</t>
  </si>
  <si>
    <t>Niger</t>
  </si>
  <si>
    <t>NER</t>
  </si>
  <si>
    <t>Benin</t>
  </si>
  <si>
    <t>BEN</t>
  </si>
  <si>
    <t>Chad</t>
  </si>
  <si>
    <t>TCD</t>
  </si>
  <si>
    <t>Burundi</t>
  </si>
  <si>
    <t>BDI</t>
  </si>
  <si>
    <t>Falkland Islands</t>
  </si>
  <si>
    <t>FLK</t>
  </si>
  <si>
    <t>Pitcairn</t>
  </si>
  <si>
    <t>PCN</t>
  </si>
  <si>
    <t>Niue</t>
  </si>
  <si>
    <t>NIU</t>
  </si>
  <si>
    <t>North Korea</t>
  </si>
  <si>
    <t>PRK</t>
  </si>
  <si>
    <t>Saint Helena</t>
  </si>
  <si>
    <t>SHN</t>
  </si>
  <si>
    <t>Tokelau</t>
  </si>
  <si>
    <t>TKL</t>
  </si>
  <si>
    <t>Turkmenistan</t>
  </si>
  <si>
    <t>TKM</t>
  </si>
  <si>
    <t>Vatican</t>
  </si>
  <si>
    <t>VAT</t>
  </si>
  <si>
    <t>Hong Kong</t>
  </si>
  <si>
    <t>HKG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</si>
</sst>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d/mm/yyyy"/>
  </numFmts>
  <fonts count="5">
    <font>
      <sz val="11.0"/>
      <color theme="1"/>
      <name val="Calibri"/>
      <scheme val="minor"/>
    </font>
    <font>
      <b/>
      <sz val="11.0"/>
      <color theme="1"/>
      <name val="Arial"/>
    </font>
    <font>
      <sz val="10.0"/>
      <color theme="1"/>
      <name val="Arial"/>
    </font>
    <font>
      <b/>
      <sz val="10.0"/>
      <color rgb="FFFFFFFF"/>
      <name val="Arial"/>
    </font>
    <font>
      <b/>
      <sz val="10.0"/>
      <color theme="1"/>
      <name val="Arial"/>
    </font>
  </fonts>
  <fills count="4">
    <fill>
      <patternFill patternType="none"/>
    </fill>
    <fill>
      <patternFill patternType="lightGray"/>
    </fill>
    <fill>
      <patternFill patternType="solid">
        <fgColor rgb="FF0B0B0C"/>
        <bgColor rgb="FF0B0B0C"/>
      </patternFill>
    </fill>
    <fill>
      <patternFill patternType="solid">
        <fgColor rgb="FFD9F0F7"/>
        <bgColor rgb="FFD9F0F7"/>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Alignment="1" applyBorder="1" applyFill="1" applyFont="1">
      <alignment shrinkToFit="0" vertical="center" wrapText="1"/>
    </xf>
    <xf borderId="0" fillId="0" fontId="2" numFmtId="0" xfId="0" applyAlignment="1" applyFont="1">
      <alignment shrinkToFit="0" vertical="bottom" wrapText="0"/>
    </xf>
    <xf borderId="0" fillId="0" fontId="2" numFmtId="3" xfId="0" applyAlignment="1" applyFont="1" applyNumberFormat="1">
      <alignment shrinkToFit="0" vertical="bottom" wrapText="0"/>
    </xf>
    <xf borderId="0" fillId="0" fontId="2" numFmtId="164" xfId="0" applyAlignment="1" applyFont="1" applyNumberFormat="1">
      <alignment shrinkToFit="0" vertical="bottom" wrapText="0"/>
    </xf>
    <xf borderId="0" fillId="0" fontId="2" numFmtId="1" xfId="0" applyAlignment="1" applyFont="1" applyNumberFormat="1">
      <alignment shrinkToFit="0" vertical="bottom" wrapText="0"/>
    </xf>
    <xf borderId="0" fillId="0" fontId="2" numFmtId="165" xfId="0" applyAlignment="1" applyFont="1" applyNumberFormat="1">
      <alignment shrinkToFit="0" vertical="bottom" wrapText="0"/>
    </xf>
    <xf borderId="1" fillId="3" fontId="4" numFmtId="0" xfId="0" applyAlignment="1" applyBorder="1" applyFill="1" applyFont="1">
      <alignment shrinkToFit="0" vertical="bottom" wrapText="0"/>
    </xf>
    <xf borderId="1" fillId="3" fontId="4" numFmtId="3" xfId="0" applyAlignment="1" applyBorder="1" applyFill="1" applyFont="1" applyNumberFormat="1">
      <alignment shrinkToFit="0" vertical="bottom" wrapText="0"/>
    </xf>
    <xf borderId="1" fillId="3" fontId="4" numFmtId="164" xfId="0" applyAlignment="1" applyBorder="1" applyFill="1" applyFont="1" applyNumberFormat="1">
      <alignment shrinkToFit="0" vertical="bottom" wrapText="0"/>
    </xf>
    <xf borderId="1" fillId="3" fontId="4" numFmtId="1" xfId="0" applyAlignment="1" applyBorder="1" applyFill="1" applyFont="1" applyNumberFormat="1">
      <alignment shrinkToFit="0" vertical="bottom" wrapText="0"/>
    </xf>
    <xf borderId="1" fillId="3" fontId="4" numFmtId="165" xfId="0" applyAlignment="1" applyBorder="1" applyFill="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0.0"/>
    <col customWidth="1" min="2" max="2" width="7.0"/>
    <col customWidth="1" min="3" max="3" width="18.0"/>
    <col customWidth="1" min="4" max="4" width="14.0"/>
    <col customWidth="1" min="5" max="5" width="16.0"/>
    <col customWidth="1" min="6" max="6" width="13.0"/>
    <col customWidth="1" min="7" max="7" width="16.0"/>
    <col customWidth="1" min="8" max="9" width="14.0"/>
    <col customWidth="1" min="10" max="10" width="16.0"/>
    <col customWidth="1" min="11" max="11" width="13.0"/>
    <col customWidth="1" min="12" max="12" width="16.0"/>
    <col customWidth="1" min="13" max="13" width="17.0"/>
    <col customWidth="1" min="14" max="14" width="15.0"/>
    <col customWidth="1" min="15" max="20" width="14.0"/>
    <col customWidth="1" min="21" max="21" width="10.0"/>
    <col customWidth="1" min="22" max="22" width="14.0"/>
    <col customWidth="1" min="23" max="26" width="8.71"/>
  </cols>
  <sheetData>
    <row r="1" ht="48.0" customHeight="1">
      <c r="A1" s="3" t="s">
        <v>1</v>
      </c>
      <c r="B1" s="3" t="s">
        <v>8</v>
      </c>
      <c r="C1" s="3" t="s">
        <v>10</v>
      </c>
      <c r="D1" s="3" t="s">
        <v>11</v>
      </c>
      <c r="E1" s="3" t="s">
        <v>13</v>
      </c>
      <c r="F1" s="3" t="s">
        <v>15</v>
      </c>
      <c r="G1" s="3" t="s">
        <v>17</v>
      </c>
      <c r="H1" s="3" t="s">
        <v>19</v>
      </c>
      <c r="I1" s="3" t="s">
        <v>20</v>
      </c>
      <c r="J1" s="3" t="s">
        <v>21</v>
      </c>
      <c r="K1" s="3" t="s">
        <v>22</v>
      </c>
      <c r="L1" s="3" t="s">
        <v>23</v>
      </c>
      <c r="M1" s="3" t="s">
        <v>24</v>
      </c>
      <c r="N1" s="3" t="s">
        <v>25</v>
      </c>
      <c r="O1" s="3" t="s">
        <v>26</v>
      </c>
      <c r="P1" s="3" t="s">
        <v>27</v>
      </c>
      <c r="Q1" s="3" t="s">
        <v>28</v>
      </c>
      <c r="R1" s="3" t="s">
        <v>29</v>
      </c>
      <c r="S1" s="3" t="s">
        <v>30</v>
      </c>
      <c r="T1" s="3" t="s">
        <v>31</v>
      </c>
      <c r="U1" s="3" t="s">
        <v>32</v>
      </c>
      <c r="V1" s="3" t="s">
        <v>33</v>
      </c>
    </row>
    <row r="2">
      <c r="A2" s="4" t="s">
        <v>34</v>
      </c>
      <c r="B2" s="4" t="s">
        <v>35</v>
      </c>
      <c r="C2" s="4" t="s">
        <v>36</v>
      </c>
      <c r="D2" s="5">
        <v>1285216.0</v>
      </c>
      <c r="E2" s="5">
        <v>3.4049588E7</v>
      </c>
      <c r="F2" s="6">
        <f t="shared" ref="F2:F235" si="1">IF(AND(ISNUMBER(D2),D2&gt;0),E2/D2,"")</f>
        <v>26.49328051</v>
      </c>
      <c r="G2" s="5">
        <v>220975.0</v>
      </c>
      <c r="H2" s="6">
        <f t="shared" ref="H2:H235" si="2">IF(AND(ISNUMBER(G2),ISNUMBER(E2)),G2/E2*100000,"")</f>
        <v>648.9799524</v>
      </c>
      <c r="I2" s="7">
        <f t="shared" ref="I2:I235" si="3">IF(AND(ISNUMBER(H2),E2&gt;=1000000),COUNTIFS($E$2:$E$235,"&gt;=1000000",$H$2:$H$235,"&gt;"&amp;H2)+1,"")</f>
        <v>1</v>
      </c>
      <c r="J2" s="6">
        <v>557.7</v>
      </c>
      <c r="K2" s="7">
        <f t="shared" ref="K2:K235" si="4">IF(AND(ISNUMBER(J2),E2&gt;=1000000),COUNTIFS($E$2:$E$235,"&gt;=1000000",$J$2:$J$235,"&gt;"&amp;J2)+1,"")</f>
        <v>9</v>
      </c>
      <c r="L2" s="6">
        <v>623.2</v>
      </c>
      <c r="M2" s="5">
        <v>224786.0</v>
      </c>
      <c r="N2" s="6">
        <v>660.2</v>
      </c>
      <c r="O2" s="8">
        <v>44236.0</v>
      </c>
      <c r="P2" s="7">
        <f t="shared" ref="P2:P235" si="5">IF(ISNUMBER(O2),O2-DATE(2020,12,8),"")</f>
        <v>63</v>
      </c>
      <c r="Q2" s="6">
        <v>9.55</v>
      </c>
      <c r="R2" s="6">
        <v>64.86</v>
      </c>
      <c r="S2" s="8">
        <v>44515.0</v>
      </c>
      <c r="T2" s="8">
        <v>44607.0</v>
      </c>
      <c r="U2" s="6">
        <v>29.1</v>
      </c>
      <c r="V2" s="5">
        <v>12236.706</v>
      </c>
    </row>
    <row r="3">
      <c r="A3" s="4" t="s">
        <v>37</v>
      </c>
      <c r="B3" s="4" t="s">
        <v>38</v>
      </c>
      <c r="C3" s="4" t="s">
        <v>39</v>
      </c>
      <c r="D3" s="5">
        <v>110994.0</v>
      </c>
      <c r="E3" s="5">
        <v>6781955.0</v>
      </c>
      <c r="F3" s="6">
        <f t="shared" si="1"/>
        <v>61.1019965</v>
      </c>
      <c r="G3" s="5">
        <v>38700.0</v>
      </c>
      <c r="H3" s="6">
        <f t="shared" si="2"/>
        <v>570.6319196</v>
      </c>
      <c r="I3" s="7">
        <f t="shared" si="3"/>
        <v>2</v>
      </c>
      <c r="J3" s="6">
        <v>899.3</v>
      </c>
      <c r="K3" s="7">
        <f t="shared" si="4"/>
        <v>1</v>
      </c>
      <c r="L3" s="6">
        <v>1091.6</v>
      </c>
      <c r="M3" s="5">
        <v>65475.0</v>
      </c>
      <c r="N3" s="6">
        <v>965.4</v>
      </c>
      <c r="O3" s="8">
        <v>44194.0</v>
      </c>
      <c r="P3" s="7">
        <f t="shared" si="5"/>
        <v>21</v>
      </c>
      <c r="Q3" s="6">
        <v>11.88</v>
      </c>
      <c r="R3" s="6">
        <v>28.24</v>
      </c>
      <c r="S3" s="8"/>
      <c r="T3" s="8"/>
      <c r="U3" s="6">
        <v>44.7</v>
      </c>
      <c r="V3" s="5">
        <v>18563.307</v>
      </c>
    </row>
    <row r="4">
      <c r="A4" s="4" t="s">
        <v>40</v>
      </c>
      <c r="B4" s="4" t="s">
        <v>41</v>
      </c>
      <c r="C4" s="4" t="s">
        <v>39</v>
      </c>
      <c r="D4" s="5">
        <v>51197.0</v>
      </c>
      <c r="E4" s="5">
        <v>3233530.0</v>
      </c>
      <c r="F4" s="6">
        <f t="shared" si="1"/>
        <v>63.15858351</v>
      </c>
      <c r="G4" s="5">
        <v>16392.0</v>
      </c>
      <c r="H4" s="6">
        <f t="shared" si="2"/>
        <v>506.9382378</v>
      </c>
      <c r="I4" s="7">
        <f t="shared" si="3"/>
        <v>3</v>
      </c>
      <c r="J4" s="6">
        <v>645.7</v>
      </c>
      <c r="K4" s="7">
        <f t="shared" si="4"/>
        <v>7</v>
      </c>
      <c r="L4" s="6">
        <v>797.4</v>
      </c>
      <c r="M4" s="5">
        <v>25747.0</v>
      </c>
      <c r="N4" s="6">
        <v>796.3</v>
      </c>
      <c r="O4" s="8">
        <v>44239.0</v>
      </c>
      <c r="P4" s="7">
        <f t="shared" si="5"/>
        <v>66</v>
      </c>
      <c r="Q4" s="6">
        <v>4.81</v>
      </c>
      <c r="R4" s="6">
        <v>22.29</v>
      </c>
      <c r="S4" s="8"/>
      <c r="T4" s="8"/>
      <c r="U4" s="6">
        <v>42.5</v>
      </c>
      <c r="V4" s="5">
        <v>11713.895</v>
      </c>
    </row>
    <row r="5">
      <c r="A5" s="4" t="s">
        <v>42</v>
      </c>
      <c r="B5" s="4" t="s">
        <v>43</v>
      </c>
      <c r="C5" s="4" t="s">
        <v>39</v>
      </c>
      <c r="D5" s="5">
        <v>93030.0</v>
      </c>
      <c r="E5" s="5">
        <v>9967304.0</v>
      </c>
      <c r="F5" s="6">
        <f t="shared" si="1"/>
        <v>107.1407503</v>
      </c>
      <c r="G5" s="5">
        <v>49053.0</v>
      </c>
      <c r="H5" s="6">
        <f t="shared" si="2"/>
        <v>492.139098</v>
      </c>
      <c r="I5" s="7">
        <f t="shared" si="3"/>
        <v>4</v>
      </c>
      <c r="J5" s="6">
        <v>417.2</v>
      </c>
      <c r="K5" s="7">
        <f t="shared" si="4"/>
        <v>24</v>
      </c>
      <c r="L5" s="6">
        <v>510.1</v>
      </c>
      <c r="M5" s="5">
        <v>48869.0</v>
      </c>
      <c r="N5" s="6">
        <v>490.3</v>
      </c>
      <c r="O5" s="8">
        <v>44193.0</v>
      </c>
      <c r="P5" s="7">
        <f t="shared" si="5"/>
        <v>20</v>
      </c>
      <c r="Q5" s="6">
        <v>49.33</v>
      </c>
      <c r="R5" s="6">
        <v>60.01</v>
      </c>
      <c r="S5" s="8">
        <v>44381.0</v>
      </c>
      <c r="T5" s="8"/>
      <c r="U5" s="6">
        <v>43.4</v>
      </c>
      <c r="V5" s="5">
        <v>26777.561</v>
      </c>
    </row>
    <row r="6">
      <c r="A6" s="4" t="s">
        <v>44</v>
      </c>
      <c r="B6" s="4" t="s">
        <v>45</v>
      </c>
      <c r="C6" s="4" t="s">
        <v>39</v>
      </c>
      <c r="D6" s="5">
        <v>25713.0</v>
      </c>
      <c r="E6" s="5">
        <v>2093606.0</v>
      </c>
      <c r="F6" s="6">
        <f t="shared" si="1"/>
        <v>81.42208222</v>
      </c>
      <c r="G6" s="5">
        <v>9978.0</v>
      </c>
      <c r="H6" s="6">
        <f t="shared" si="2"/>
        <v>476.5939723</v>
      </c>
      <c r="I6" s="7">
        <f t="shared" si="3"/>
        <v>5</v>
      </c>
      <c r="J6" s="6">
        <v>708.9</v>
      </c>
      <c r="K6" s="7">
        <f t="shared" si="4"/>
        <v>4</v>
      </c>
      <c r="L6" s="6">
        <v>836.5</v>
      </c>
      <c r="M6" s="5">
        <v>17301.0</v>
      </c>
      <c r="N6" s="6">
        <v>826.4</v>
      </c>
      <c r="O6" s="8">
        <v>44244.0</v>
      </c>
      <c r="P6" s="7">
        <f t="shared" si="5"/>
        <v>71</v>
      </c>
      <c r="Q6" s="6">
        <v>10.55</v>
      </c>
      <c r="R6" s="6">
        <v>39.01</v>
      </c>
      <c r="S6" s="8"/>
      <c r="T6" s="8"/>
      <c r="U6" s="6">
        <v>39.1</v>
      </c>
      <c r="V6" s="5">
        <v>13111.214</v>
      </c>
    </row>
    <row r="7">
      <c r="A7" s="4" t="s">
        <v>46</v>
      </c>
      <c r="B7" s="4" t="s">
        <v>47</v>
      </c>
      <c r="C7" s="4" t="s">
        <v>39</v>
      </c>
      <c r="D7" s="5">
        <v>20256.0</v>
      </c>
      <c r="E7" s="5">
        <v>2119843.0</v>
      </c>
      <c r="F7" s="6">
        <f t="shared" si="1"/>
        <v>104.6525968</v>
      </c>
      <c r="G7" s="5">
        <v>10083.0</v>
      </c>
      <c r="H7" s="6">
        <f t="shared" si="2"/>
        <v>475.6484325</v>
      </c>
      <c r="I7" s="7">
        <f t="shared" si="3"/>
        <v>6</v>
      </c>
      <c r="J7" s="6">
        <v>264.6</v>
      </c>
      <c r="K7" s="7">
        <f t="shared" si="4"/>
        <v>42</v>
      </c>
      <c r="L7" s="6">
        <v>328.7</v>
      </c>
      <c r="M7" s="5">
        <v>6582.0</v>
      </c>
      <c r="N7" s="6">
        <v>310.5</v>
      </c>
      <c r="O7" s="8">
        <v>44192.0</v>
      </c>
      <c r="P7" s="7">
        <f t="shared" si="5"/>
        <v>19</v>
      </c>
      <c r="Q7" s="6">
        <v>32.48</v>
      </c>
      <c r="R7" s="6">
        <v>56.09</v>
      </c>
      <c r="S7" s="8">
        <v>44476.0</v>
      </c>
      <c r="T7" s="8"/>
      <c r="U7" s="6">
        <v>44.5</v>
      </c>
      <c r="V7" s="5">
        <v>31400.84</v>
      </c>
    </row>
    <row r="8">
      <c r="A8" s="4" t="s">
        <v>48</v>
      </c>
      <c r="B8" s="4" t="s">
        <v>49</v>
      </c>
      <c r="C8" s="4" t="s">
        <v>39</v>
      </c>
      <c r="D8" s="5">
        <v>56538.0</v>
      </c>
      <c r="E8" s="5">
        <v>4030361.0</v>
      </c>
      <c r="F8" s="6">
        <f t="shared" si="1"/>
        <v>71.28587852</v>
      </c>
      <c r="G8" s="5">
        <v>18752.0</v>
      </c>
      <c r="H8" s="6">
        <f t="shared" si="2"/>
        <v>465.2684958</v>
      </c>
      <c r="I8" s="7">
        <f t="shared" si="3"/>
        <v>7</v>
      </c>
      <c r="J8" s="6">
        <v>472.2</v>
      </c>
      <c r="K8" s="7">
        <f t="shared" si="4"/>
        <v>16</v>
      </c>
      <c r="L8" s="6">
        <v>652.8</v>
      </c>
      <c r="M8" s="5">
        <v>28029.0</v>
      </c>
      <c r="N8" s="6">
        <v>695.4</v>
      </c>
      <c r="O8" s="8">
        <v>44195.0</v>
      </c>
      <c r="P8" s="7">
        <f t="shared" si="5"/>
        <v>22</v>
      </c>
      <c r="Q8" s="6">
        <v>26.92</v>
      </c>
      <c r="R8" s="6">
        <v>48.47</v>
      </c>
      <c r="S8" s="8">
        <v>44563.0</v>
      </c>
      <c r="T8" s="8"/>
      <c r="U8" s="6">
        <v>44.0</v>
      </c>
      <c r="V8" s="5">
        <v>22669.797</v>
      </c>
    </row>
    <row r="9">
      <c r="A9" s="4" t="s">
        <v>50</v>
      </c>
      <c r="B9" s="4" t="s">
        <v>51</v>
      </c>
      <c r="C9" s="4" t="s">
        <v>52</v>
      </c>
      <c r="D9" s="5">
        <v>69700.0</v>
      </c>
      <c r="E9" s="5">
        <v>3744385.0</v>
      </c>
      <c r="F9" s="6">
        <f t="shared" si="1"/>
        <v>53.72144907</v>
      </c>
      <c r="G9" s="5">
        <v>17150.0</v>
      </c>
      <c r="H9" s="6">
        <f t="shared" si="2"/>
        <v>458.0191407</v>
      </c>
      <c r="I9" s="7">
        <f t="shared" si="3"/>
        <v>8</v>
      </c>
      <c r="J9" s="6">
        <v>539.3</v>
      </c>
      <c r="K9" s="7">
        <f t="shared" si="4"/>
        <v>11</v>
      </c>
      <c r="L9" s="6">
        <v>680.8</v>
      </c>
      <c r="M9" s="5">
        <v>24788.0</v>
      </c>
      <c r="N9" s="6">
        <v>662.0</v>
      </c>
      <c r="O9" s="8">
        <v>44270.0</v>
      </c>
      <c r="P9" s="7">
        <f t="shared" si="5"/>
        <v>97</v>
      </c>
      <c r="Q9" s="6">
        <v>2.67</v>
      </c>
      <c r="R9" s="6">
        <v>30.68</v>
      </c>
      <c r="S9" s="8"/>
      <c r="T9" s="8"/>
      <c r="U9" s="6">
        <v>38.7</v>
      </c>
      <c r="V9" s="5">
        <v>9745.079</v>
      </c>
    </row>
    <row r="10">
      <c r="A10" s="4" t="s">
        <v>53</v>
      </c>
      <c r="B10" s="4" t="s">
        <v>54</v>
      </c>
      <c r="C10" s="4" t="s">
        <v>39</v>
      </c>
      <c r="D10" s="5">
        <v>13812.0</v>
      </c>
      <c r="E10" s="5">
        <v>627082.0</v>
      </c>
      <c r="F10" s="6">
        <f t="shared" si="1"/>
        <v>45.40124529</v>
      </c>
      <c r="G10" s="5">
        <v>2654.0</v>
      </c>
      <c r="H10" s="6">
        <f t="shared" si="2"/>
        <v>423.2301358</v>
      </c>
      <c r="I10" s="7" t="str">
        <f t="shared" si="3"/>
        <v/>
      </c>
      <c r="J10" s="6">
        <v>543.3</v>
      </c>
      <c r="K10" s="7" t="str">
        <f t="shared" si="4"/>
        <v/>
      </c>
      <c r="L10" s="6">
        <v>627.3</v>
      </c>
      <c r="M10" s="5">
        <v>3519.0</v>
      </c>
      <c r="N10" s="6">
        <v>561.2</v>
      </c>
      <c r="O10" s="8">
        <v>44248.0</v>
      </c>
      <c r="P10" s="7">
        <f t="shared" si="5"/>
        <v>75</v>
      </c>
      <c r="Q10" s="6">
        <v>22.06</v>
      </c>
      <c r="R10" s="6">
        <v>43.51</v>
      </c>
      <c r="S10" s="8"/>
      <c r="T10" s="8"/>
      <c r="U10" s="6">
        <v>39.1</v>
      </c>
      <c r="V10" s="5">
        <v>16409.288</v>
      </c>
    </row>
    <row r="11">
      <c r="A11" s="4" t="s">
        <v>55</v>
      </c>
      <c r="B11" s="4" t="s">
        <v>56</v>
      </c>
      <c r="C11" s="4" t="s">
        <v>39</v>
      </c>
      <c r="D11" s="5">
        <v>78866.0</v>
      </c>
      <c r="E11" s="5">
        <v>1.049399E7</v>
      </c>
      <c r="F11" s="6">
        <f t="shared" si="1"/>
        <v>133.0610149</v>
      </c>
      <c r="G11" s="5">
        <v>43509.0</v>
      </c>
      <c r="H11" s="6">
        <f t="shared" si="2"/>
        <v>414.6087427</v>
      </c>
      <c r="I11" s="7">
        <f t="shared" si="3"/>
        <v>9</v>
      </c>
      <c r="J11" s="6">
        <v>418.2</v>
      </c>
      <c r="K11" s="7">
        <f t="shared" si="4"/>
        <v>23</v>
      </c>
      <c r="L11" s="6">
        <v>481.8</v>
      </c>
      <c r="M11" s="5">
        <v>46372.0</v>
      </c>
      <c r="N11" s="6">
        <v>441.9</v>
      </c>
      <c r="O11" s="8">
        <v>44192.0</v>
      </c>
      <c r="P11" s="7">
        <f t="shared" si="5"/>
        <v>19</v>
      </c>
      <c r="Q11" s="6">
        <v>31.52</v>
      </c>
      <c r="R11" s="6">
        <v>63.48</v>
      </c>
      <c r="S11" s="8">
        <v>44419.0</v>
      </c>
      <c r="T11" s="8"/>
      <c r="U11" s="6">
        <v>43.3</v>
      </c>
      <c r="V11" s="5">
        <v>32605.906</v>
      </c>
    </row>
    <row r="12">
      <c r="A12" s="4" t="s">
        <v>57</v>
      </c>
      <c r="B12" s="4" t="s">
        <v>58</v>
      </c>
      <c r="C12" s="4" t="s">
        <v>39</v>
      </c>
      <c r="D12" s="5">
        <v>64589.0</v>
      </c>
      <c r="E12" s="5">
        <v>1850654.0</v>
      </c>
      <c r="F12" s="6">
        <f t="shared" si="1"/>
        <v>28.65277369</v>
      </c>
      <c r="G12" s="5">
        <v>7475.0</v>
      </c>
      <c r="H12" s="6">
        <f t="shared" si="2"/>
        <v>403.911266</v>
      </c>
      <c r="I12" s="7">
        <f t="shared" si="3"/>
        <v>10</v>
      </c>
      <c r="J12" s="6">
        <v>437.7</v>
      </c>
      <c r="K12" s="7">
        <f t="shared" si="4"/>
        <v>19</v>
      </c>
      <c r="L12" s="6">
        <v>597.6</v>
      </c>
      <c r="M12" s="5">
        <v>11181.0</v>
      </c>
      <c r="N12" s="6">
        <v>604.2</v>
      </c>
      <c r="O12" s="8">
        <v>44193.0</v>
      </c>
      <c r="P12" s="7">
        <f t="shared" si="5"/>
        <v>20</v>
      </c>
      <c r="Q12" s="6">
        <v>29.77</v>
      </c>
      <c r="R12" s="6">
        <v>68.22</v>
      </c>
      <c r="S12" s="8">
        <v>44484.0</v>
      </c>
      <c r="T12" s="8">
        <v>44608.0</v>
      </c>
      <c r="U12" s="6">
        <v>43.9</v>
      </c>
      <c r="V12" s="5">
        <v>25063.846</v>
      </c>
    </row>
    <row r="13">
      <c r="A13" s="4" t="s">
        <v>59</v>
      </c>
      <c r="B13" s="4" t="s">
        <v>60</v>
      </c>
      <c r="C13" s="4" t="s">
        <v>39</v>
      </c>
      <c r="D13" s="5">
        <v>131626.0</v>
      </c>
      <c r="E13" s="5">
        <v>1.0384972E7</v>
      </c>
      <c r="F13" s="6">
        <f t="shared" si="1"/>
        <v>78.89757343</v>
      </c>
      <c r="G13" s="5">
        <v>39258.0</v>
      </c>
      <c r="H13" s="6">
        <f t="shared" si="2"/>
        <v>378.0270183</v>
      </c>
      <c r="I13" s="7">
        <f t="shared" si="3"/>
        <v>11</v>
      </c>
      <c r="J13" s="6">
        <v>242.4</v>
      </c>
      <c r="K13" s="7">
        <f t="shared" si="4"/>
        <v>48</v>
      </c>
      <c r="L13" s="6">
        <v>380.9</v>
      </c>
      <c r="M13" s="5">
        <v>36923.0</v>
      </c>
      <c r="N13" s="6">
        <v>355.5</v>
      </c>
      <c r="O13" s="8">
        <v>44193.0</v>
      </c>
      <c r="P13" s="7">
        <f t="shared" si="5"/>
        <v>20</v>
      </c>
      <c r="Q13" s="6">
        <v>36.48</v>
      </c>
      <c r="R13" s="6">
        <v>67.8</v>
      </c>
      <c r="S13" s="8">
        <v>44410.0</v>
      </c>
      <c r="T13" s="8">
        <v>44585.0</v>
      </c>
      <c r="U13" s="6">
        <v>45.3</v>
      </c>
      <c r="V13" s="5">
        <v>24574.382</v>
      </c>
    </row>
    <row r="14">
      <c r="A14" s="4" t="s">
        <v>61</v>
      </c>
      <c r="B14" s="4" t="s">
        <v>62</v>
      </c>
      <c r="C14" s="4" t="s">
        <v>39</v>
      </c>
      <c r="D14" s="5">
        <v>49012.0</v>
      </c>
      <c r="E14" s="5">
        <v>5643455.0</v>
      </c>
      <c r="F14" s="6">
        <f t="shared" si="1"/>
        <v>115.1443524</v>
      </c>
      <c r="G14" s="5">
        <v>21227.0</v>
      </c>
      <c r="H14" s="6">
        <f t="shared" si="2"/>
        <v>376.1348323</v>
      </c>
      <c r="I14" s="7">
        <f t="shared" si="3"/>
        <v>12</v>
      </c>
      <c r="J14" s="6">
        <v>462.8</v>
      </c>
      <c r="K14" s="7">
        <f t="shared" si="4"/>
        <v>17</v>
      </c>
      <c r="L14" s="6">
        <v>574.9</v>
      </c>
      <c r="M14" s="5">
        <v>32076.0</v>
      </c>
      <c r="N14" s="6">
        <v>568.4</v>
      </c>
      <c r="O14" s="8">
        <v>44199.0</v>
      </c>
      <c r="P14" s="7">
        <f t="shared" si="5"/>
        <v>26</v>
      </c>
      <c r="Q14" s="6">
        <v>30.26</v>
      </c>
      <c r="R14" s="6">
        <v>43.44</v>
      </c>
      <c r="S14" s="8"/>
      <c r="T14" s="8"/>
      <c r="U14" s="6">
        <v>41.2</v>
      </c>
      <c r="V14" s="5">
        <v>30155.152</v>
      </c>
    </row>
    <row r="15">
      <c r="A15" s="4" t="s">
        <v>63</v>
      </c>
      <c r="B15" s="4" t="s">
        <v>64</v>
      </c>
      <c r="C15" s="4" t="s">
        <v>39</v>
      </c>
      <c r="D15" s="5">
        <v>33851.0</v>
      </c>
      <c r="E15" s="5">
        <v>3272993.0</v>
      </c>
      <c r="F15" s="6">
        <f t="shared" si="1"/>
        <v>96.68822191</v>
      </c>
      <c r="G15" s="5">
        <v>12245.0</v>
      </c>
      <c r="H15" s="6">
        <f t="shared" si="2"/>
        <v>374.1224011</v>
      </c>
      <c r="I15" s="7">
        <f t="shared" si="3"/>
        <v>13</v>
      </c>
      <c r="J15" s="6">
        <v>502.1</v>
      </c>
      <c r="K15" s="7">
        <f t="shared" si="4"/>
        <v>13</v>
      </c>
      <c r="L15" s="6">
        <v>594.1</v>
      </c>
      <c r="M15" s="5">
        <v>18636.0</v>
      </c>
      <c r="N15" s="6">
        <v>569.4</v>
      </c>
      <c r="O15" s="8">
        <v>44260.0</v>
      </c>
      <c r="P15" s="7">
        <f t="shared" si="5"/>
        <v>87</v>
      </c>
      <c r="Q15" s="6">
        <v>8.37</v>
      </c>
      <c r="R15" s="6">
        <v>30.01</v>
      </c>
      <c r="S15" s="8"/>
      <c r="T15" s="8"/>
      <c r="U15" s="6">
        <v>37.6</v>
      </c>
      <c r="V15" s="5">
        <v>5189.972</v>
      </c>
    </row>
    <row r="16">
      <c r="A16" s="4" t="s">
        <v>65</v>
      </c>
      <c r="B16" s="4" t="s">
        <v>66</v>
      </c>
      <c r="C16" s="4" t="s">
        <v>39</v>
      </c>
      <c r="D16" s="5">
        <v>61.0</v>
      </c>
      <c r="E16" s="5">
        <v>33690.0</v>
      </c>
      <c r="F16" s="6">
        <f t="shared" si="1"/>
        <v>552.295082</v>
      </c>
      <c r="G16" s="5">
        <v>126.0</v>
      </c>
      <c r="H16" s="6">
        <f t="shared" si="2"/>
        <v>373.9982191</v>
      </c>
      <c r="I16" s="7" t="str">
        <f t="shared" si="3"/>
        <v/>
      </c>
      <c r="J16" s="6">
        <v>398.1</v>
      </c>
      <c r="K16" s="7" t="str">
        <f t="shared" si="4"/>
        <v/>
      </c>
      <c r="L16" s="6">
        <v>402.7</v>
      </c>
      <c r="M16" s="5">
        <v>154.0</v>
      </c>
      <c r="N16" s="6">
        <v>455.8</v>
      </c>
      <c r="O16" s="8">
        <v>44254.0</v>
      </c>
      <c r="P16" s="7">
        <f t="shared" si="5"/>
        <v>81</v>
      </c>
      <c r="Q16" s="6">
        <v>64.05</v>
      </c>
      <c r="R16" s="6">
        <v>64.19</v>
      </c>
      <c r="S16" s="8">
        <v>44339.0</v>
      </c>
      <c r="T16" s="8">
        <v>44640.0</v>
      </c>
      <c r="U16" s="6"/>
      <c r="V16" s="5">
        <v>56861.47</v>
      </c>
    </row>
    <row r="17">
      <c r="A17" s="4" t="s">
        <v>67</v>
      </c>
      <c r="B17" s="4" t="s">
        <v>68</v>
      </c>
      <c r="C17" s="4" t="s">
        <v>39</v>
      </c>
      <c r="D17" s="5">
        <v>65301.0</v>
      </c>
      <c r="E17" s="5">
        <v>2750058.0</v>
      </c>
      <c r="F17" s="6">
        <f t="shared" si="1"/>
        <v>42.11356641</v>
      </c>
      <c r="G17" s="5">
        <v>9810.0</v>
      </c>
      <c r="H17" s="6">
        <f t="shared" si="2"/>
        <v>356.7197492</v>
      </c>
      <c r="I17" s="7">
        <f t="shared" si="3"/>
        <v>14</v>
      </c>
      <c r="J17" s="6">
        <v>655.3</v>
      </c>
      <c r="K17" s="7">
        <f t="shared" si="4"/>
        <v>5</v>
      </c>
      <c r="L17" s="6">
        <v>919.7</v>
      </c>
      <c r="M17" s="5">
        <v>30143.0</v>
      </c>
      <c r="N17" s="6">
        <v>1096.1</v>
      </c>
      <c r="O17" s="8">
        <v>44192.0</v>
      </c>
      <c r="P17" s="7">
        <f t="shared" si="5"/>
        <v>19</v>
      </c>
      <c r="Q17" s="6">
        <v>38.3</v>
      </c>
      <c r="R17" s="6">
        <v>66.62</v>
      </c>
      <c r="S17" s="8">
        <v>44424.0</v>
      </c>
      <c r="T17" s="8"/>
      <c r="U17" s="6">
        <v>43.5</v>
      </c>
      <c r="V17" s="5">
        <v>29524.265</v>
      </c>
    </row>
    <row r="18">
      <c r="A18" s="4" t="s">
        <v>69</v>
      </c>
      <c r="B18" s="4" t="s">
        <v>70</v>
      </c>
      <c r="C18" s="4" t="s">
        <v>71</v>
      </c>
      <c r="D18" s="5">
        <v>9363520.0</v>
      </c>
      <c r="E18" s="5">
        <v>3.38289856E8</v>
      </c>
      <c r="F18" s="6">
        <f t="shared" si="1"/>
        <v>36.12849185</v>
      </c>
      <c r="G18" s="5">
        <v>1193165.0</v>
      </c>
      <c r="H18" s="6">
        <f t="shared" si="2"/>
        <v>352.7049301</v>
      </c>
      <c r="I18" s="7">
        <f t="shared" si="3"/>
        <v>15</v>
      </c>
      <c r="J18" s="6">
        <v>299.8</v>
      </c>
      <c r="K18" s="7">
        <f t="shared" si="4"/>
        <v>34</v>
      </c>
      <c r="L18" s="6">
        <v>390.6</v>
      </c>
      <c r="M18" s="5">
        <v>1467390.0</v>
      </c>
      <c r="N18" s="6">
        <v>433.8</v>
      </c>
      <c r="O18" s="8">
        <v>44179.0</v>
      </c>
      <c r="P18" s="7">
        <f t="shared" si="5"/>
        <v>6</v>
      </c>
      <c r="Q18" s="6">
        <v>49.34</v>
      </c>
      <c r="R18" s="6">
        <v>63.36</v>
      </c>
      <c r="S18" s="8">
        <v>44386.0</v>
      </c>
      <c r="T18" s="8"/>
      <c r="U18" s="6">
        <v>38.3</v>
      </c>
      <c r="V18" s="5">
        <v>54225.446</v>
      </c>
    </row>
    <row r="19">
      <c r="A19" s="4" t="s">
        <v>72</v>
      </c>
      <c r="B19" s="4" t="s">
        <v>73</v>
      </c>
      <c r="C19" s="4" t="s">
        <v>39</v>
      </c>
      <c r="D19" s="5">
        <v>238391.0</v>
      </c>
      <c r="E19" s="5">
        <v>1.965927E7</v>
      </c>
      <c r="F19" s="6">
        <f t="shared" si="1"/>
        <v>82.46649412</v>
      </c>
      <c r="G19" s="5">
        <v>68825.0</v>
      </c>
      <c r="H19" s="6">
        <f t="shared" si="2"/>
        <v>350.0892963</v>
      </c>
      <c r="I19" s="7">
        <f t="shared" si="3"/>
        <v>16</v>
      </c>
      <c r="J19" s="6">
        <v>583.5</v>
      </c>
      <c r="K19" s="7">
        <f t="shared" si="4"/>
        <v>8</v>
      </c>
      <c r="L19" s="6">
        <v>646.8</v>
      </c>
      <c r="M19" s="5">
        <v>98378.0</v>
      </c>
      <c r="N19" s="6">
        <v>500.4</v>
      </c>
      <c r="O19" s="8">
        <v>44192.0</v>
      </c>
      <c r="P19" s="7">
        <f t="shared" si="5"/>
        <v>19</v>
      </c>
      <c r="Q19" s="6">
        <v>23.07</v>
      </c>
      <c r="R19" s="6">
        <v>39.76</v>
      </c>
      <c r="S19" s="8"/>
      <c r="T19" s="8"/>
      <c r="U19" s="6">
        <v>43.0</v>
      </c>
      <c r="V19" s="5">
        <v>23313.199</v>
      </c>
    </row>
    <row r="20">
      <c r="A20" s="4" t="s">
        <v>74</v>
      </c>
      <c r="B20" s="4" t="s">
        <v>75</v>
      </c>
      <c r="C20" s="4" t="s">
        <v>39</v>
      </c>
      <c r="D20" s="5">
        <v>6.0</v>
      </c>
      <c r="E20" s="5">
        <v>32677.0</v>
      </c>
      <c r="F20" s="6">
        <f t="shared" si="1"/>
        <v>5446.166667</v>
      </c>
      <c r="G20" s="5">
        <v>113.0</v>
      </c>
      <c r="H20" s="6">
        <f t="shared" si="2"/>
        <v>345.8089788</v>
      </c>
      <c r="I20" s="7" t="str">
        <f t="shared" si="3"/>
        <v/>
      </c>
      <c r="J20" s="6">
        <v>195.1</v>
      </c>
      <c r="K20" s="7" t="str">
        <f t="shared" si="4"/>
        <v/>
      </c>
      <c r="L20" s="6">
        <v>285.0</v>
      </c>
      <c r="M20" s="5">
        <v>93.0</v>
      </c>
      <c r="N20" s="6">
        <v>284.9</v>
      </c>
      <c r="O20" s="8">
        <v>44206.0</v>
      </c>
      <c r="P20" s="7">
        <f t="shared" si="5"/>
        <v>33</v>
      </c>
      <c r="Q20" s="6">
        <v>118.9</v>
      </c>
      <c r="R20" s="6">
        <v>122.61</v>
      </c>
      <c r="S20" s="8">
        <v>44266.0</v>
      </c>
      <c r="T20" s="8">
        <v>44275.0</v>
      </c>
      <c r="U20" s="6"/>
      <c r="V20" s="5"/>
    </row>
    <row r="21" ht="15.75" customHeight="1">
      <c r="A21" s="4" t="s">
        <v>76</v>
      </c>
      <c r="B21" s="4" t="s">
        <v>77</v>
      </c>
      <c r="C21" s="4" t="s">
        <v>39</v>
      </c>
      <c r="D21" s="5">
        <v>242900.0</v>
      </c>
      <c r="E21" s="5">
        <v>6.7508936E7</v>
      </c>
      <c r="F21" s="6">
        <f t="shared" si="1"/>
        <v>277.9289255</v>
      </c>
      <c r="G21" s="5">
        <v>232112.0</v>
      </c>
      <c r="H21" s="6">
        <f t="shared" si="2"/>
        <v>343.8241124</v>
      </c>
      <c r="I21" s="7">
        <f t="shared" si="3"/>
        <v>17</v>
      </c>
      <c r="J21" s="6">
        <v>220.3</v>
      </c>
      <c r="K21" s="7">
        <f t="shared" si="4"/>
        <v>53</v>
      </c>
      <c r="L21" s="6">
        <v>301.3</v>
      </c>
      <c r="M21" s="5">
        <v>276192.0</v>
      </c>
      <c r="N21" s="6">
        <v>409.1</v>
      </c>
      <c r="O21" s="8">
        <v>44173.0</v>
      </c>
      <c r="P21" s="7">
        <f t="shared" si="5"/>
        <v>0</v>
      </c>
      <c r="Q21" s="6">
        <v>48.95</v>
      </c>
      <c r="R21" s="6">
        <v>70.26</v>
      </c>
      <c r="S21" s="8">
        <v>44382.0</v>
      </c>
      <c r="T21" s="8">
        <v>44553.0</v>
      </c>
      <c r="U21" s="6">
        <v>40.8</v>
      </c>
      <c r="V21" s="5">
        <v>39753.244</v>
      </c>
    </row>
    <row r="22" ht="15.75" customHeight="1">
      <c r="A22" s="4" t="s">
        <v>78</v>
      </c>
      <c r="B22" s="4" t="s">
        <v>79</v>
      </c>
      <c r="C22" s="4" t="s">
        <v>39</v>
      </c>
      <c r="D22" s="5">
        <v>301316.0</v>
      </c>
      <c r="E22" s="5">
        <v>5.9037472E7</v>
      </c>
      <c r="F22" s="6">
        <f t="shared" si="1"/>
        <v>195.9320846</v>
      </c>
      <c r="G22" s="5">
        <v>197307.0</v>
      </c>
      <c r="H22" s="6">
        <f t="shared" si="2"/>
        <v>334.2063834</v>
      </c>
      <c r="I22" s="7">
        <f t="shared" si="3"/>
        <v>18</v>
      </c>
      <c r="J22" s="6">
        <v>322.7</v>
      </c>
      <c r="K22" s="7">
        <f t="shared" si="4"/>
        <v>28</v>
      </c>
      <c r="L22" s="6">
        <v>464.9</v>
      </c>
      <c r="M22" s="5">
        <v>306168.0</v>
      </c>
      <c r="N22" s="6">
        <v>518.6</v>
      </c>
      <c r="O22" s="8">
        <v>44192.0</v>
      </c>
      <c r="P22" s="7">
        <f t="shared" si="5"/>
        <v>19</v>
      </c>
      <c r="Q22" s="6">
        <v>32.09</v>
      </c>
      <c r="R22" s="6">
        <v>75.73</v>
      </c>
      <c r="S22" s="8">
        <v>44403.0</v>
      </c>
      <c r="T22" s="8">
        <v>44473.0</v>
      </c>
      <c r="U22" s="6">
        <v>47.9</v>
      </c>
      <c r="V22" s="5">
        <v>35220.084</v>
      </c>
    </row>
    <row r="23" ht="15.75" customHeight="1">
      <c r="A23" s="9" t="s">
        <v>80</v>
      </c>
      <c r="B23" s="9" t="s">
        <v>81</v>
      </c>
      <c r="C23" s="9" t="s">
        <v>36</v>
      </c>
      <c r="D23" s="10">
        <v>8547403.0</v>
      </c>
      <c r="E23" s="10">
        <v>2.15313504E8</v>
      </c>
      <c r="F23" s="11">
        <f t="shared" si="1"/>
        <v>25.1905174</v>
      </c>
      <c r="G23" s="10">
        <v>702116.0</v>
      </c>
      <c r="H23" s="11">
        <f t="shared" si="2"/>
        <v>326.0900905</v>
      </c>
      <c r="I23" s="12">
        <f t="shared" si="3"/>
        <v>19</v>
      </c>
      <c r="J23" s="11">
        <v>310.0</v>
      </c>
      <c r="K23" s="12">
        <f t="shared" si="4"/>
        <v>33</v>
      </c>
      <c r="L23" s="11">
        <v>379.3</v>
      </c>
      <c r="M23" s="10">
        <v>933684.0</v>
      </c>
      <c r="N23" s="11">
        <v>433.6</v>
      </c>
      <c r="O23" s="13">
        <v>44213.0</v>
      </c>
      <c r="P23" s="12">
        <f t="shared" si="5"/>
        <v>40</v>
      </c>
      <c r="Q23" s="11">
        <v>12.37</v>
      </c>
      <c r="R23" s="11">
        <v>66.62</v>
      </c>
      <c r="S23" s="13">
        <v>44490.0</v>
      </c>
      <c r="T23" s="13">
        <v>44597.0</v>
      </c>
      <c r="U23" s="11">
        <v>33.5</v>
      </c>
      <c r="V23" s="10">
        <v>14103.452</v>
      </c>
    </row>
    <row r="24" ht="15.75" customHeight="1">
      <c r="A24" s="4" t="s">
        <v>82</v>
      </c>
      <c r="B24" s="4" t="s">
        <v>83</v>
      </c>
      <c r="C24" s="4" t="s">
        <v>36</v>
      </c>
      <c r="D24" s="5">
        <v>756626.0</v>
      </c>
      <c r="E24" s="5">
        <v>1.9603736E7</v>
      </c>
      <c r="F24" s="6">
        <f t="shared" si="1"/>
        <v>25.90941363</v>
      </c>
      <c r="G24" s="5">
        <v>62730.0</v>
      </c>
      <c r="H24" s="6">
        <f t="shared" si="2"/>
        <v>319.9900264</v>
      </c>
      <c r="I24" s="7">
        <f t="shared" si="3"/>
        <v>20</v>
      </c>
      <c r="J24" s="6">
        <v>199.6</v>
      </c>
      <c r="K24" s="7">
        <f t="shared" si="4"/>
        <v>61</v>
      </c>
      <c r="L24" s="6">
        <v>312.8</v>
      </c>
      <c r="M24" s="5">
        <v>72014.0</v>
      </c>
      <c r="N24" s="6">
        <v>367.4</v>
      </c>
      <c r="O24" s="8">
        <v>44189.0</v>
      </c>
      <c r="P24" s="7">
        <f t="shared" si="5"/>
        <v>16</v>
      </c>
      <c r="Q24" s="6">
        <v>55.04</v>
      </c>
      <c r="R24" s="6">
        <v>84.41</v>
      </c>
      <c r="S24" s="8">
        <v>44369.0</v>
      </c>
      <c r="T24" s="8">
        <v>44441.0</v>
      </c>
      <c r="U24" s="6">
        <v>35.4</v>
      </c>
      <c r="V24" s="5">
        <v>22767.037</v>
      </c>
    </row>
    <row r="25" ht="15.75" customHeight="1">
      <c r="A25" s="4" t="s">
        <v>84</v>
      </c>
      <c r="B25" s="4" t="s">
        <v>85</v>
      </c>
      <c r="C25" s="4" t="s">
        <v>52</v>
      </c>
      <c r="D25" s="5">
        <v>29800.0</v>
      </c>
      <c r="E25" s="5">
        <v>2780472.0</v>
      </c>
      <c r="F25" s="6">
        <f t="shared" si="1"/>
        <v>93.30442953</v>
      </c>
      <c r="G25" s="5">
        <v>8777.0</v>
      </c>
      <c r="H25" s="6">
        <f t="shared" si="2"/>
        <v>315.6658294</v>
      </c>
      <c r="I25" s="7">
        <f t="shared" si="3"/>
        <v>21</v>
      </c>
      <c r="J25" s="6">
        <v>428.4</v>
      </c>
      <c r="K25" s="7">
        <f t="shared" si="4"/>
        <v>20</v>
      </c>
      <c r="L25" s="6">
        <v>474.2</v>
      </c>
      <c r="M25" s="5">
        <v>13113.0</v>
      </c>
      <c r="N25" s="6">
        <v>471.6</v>
      </c>
      <c r="O25" s="8">
        <v>44286.0</v>
      </c>
      <c r="P25" s="7">
        <f t="shared" si="5"/>
        <v>113</v>
      </c>
      <c r="Q25" s="6">
        <v>0.58</v>
      </c>
      <c r="R25" s="6">
        <v>24.89</v>
      </c>
      <c r="S25" s="8"/>
      <c r="T25" s="8"/>
      <c r="U25" s="6">
        <v>35.7</v>
      </c>
      <c r="V25" s="5">
        <v>8787.58</v>
      </c>
    </row>
    <row r="26" ht="15.75" customHeight="1">
      <c r="A26" s="4" t="s">
        <v>86</v>
      </c>
      <c r="B26" s="4" t="s">
        <v>87</v>
      </c>
      <c r="C26" s="4" t="s">
        <v>39</v>
      </c>
      <c r="D26" s="5">
        <v>323250.0</v>
      </c>
      <c r="E26" s="5">
        <v>3.9857144E7</v>
      </c>
      <c r="F26" s="6">
        <f t="shared" si="1"/>
        <v>123.3012962</v>
      </c>
      <c r="G26" s="5">
        <v>120726.0</v>
      </c>
      <c r="H26" s="6">
        <f t="shared" si="2"/>
        <v>302.8967655</v>
      </c>
      <c r="I26" s="7">
        <f t="shared" si="3"/>
        <v>22</v>
      </c>
      <c r="J26" s="6">
        <v>427.1</v>
      </c>
      <c r="K26" s="7">
        <f t="shared" si="4"/>
        <v>21</v>
      </c>
      <c r="L26" s="6">
        <v>495.5</v>
      </c>
      <c r="M26" s="5">
        <v>163408.0</v>
      </c>
      <c r="N26" s="6">
        <v>410.0</v>
      </c>
      <c r="O26" s="8">
        <v>44193.0</v>
      </c>
      <c r="P26" s="7">
        <f t="shared" si="5"/>
        <v>20</v>
      </c>
      <c r="Q26" s="6">
        <v>33.35</v>
      </c>
      <c r="R26" s="6">
        <v>52.8</v>
      </c>
      <c r="S26" s="8">
        <v>44498.0</v>
      </c>
      <c r="T26" s="8"/>
      <c r="U26" s="6">
        <v>41.8</v>
      </c>
      <c r="V26" s="5">
        <v>27216.445</v>
      </c>
    </row>
    <row r="27" ht="15.75" customHeight="1">
      <c r="A27" s="4" t="s">
        <v>88</v>
      </c>
      <c r="B27" s="4" t="s">
        <v>89</v>
      </c>
      <c r="C27" s="4" t="s">
        <v>71</v>
      </c>
      <c r="D27" s="5">
        <v>1102.0</v>
      </c>
      <c r="E27" s="5">
        <v>367512.0</v>
      </c>
      <c r="F27" s="6">
        <f t="shared" si="1"/>
        <v>333.4954628</v>
      </c>
      <c r="G27" s="5">
        <v>1104.0</v>
      </c>
      <c r="H27" s="6">
        <f t="shared" si="2"/>
        <v>300.3983543</v>
      </c>
      <c r="I27" s="7" t="str">
        <f t="shared" si="3"/>
        <v/>
      </c>
      <c r="J27" s="6">
        <v>399.3</v>
      </c>
      <c r="K27" s="7" t="str">
        <f t="shared" si="4"/>
        <v/>
      </c>
      <c r="L27" s="6">
        <v>618.2</v>
      </c>
      <c r="M27" s="5">
        <v>2239.0</v>
      </c>
      <c r="N27" s="6">
        <v>609.1</v>
      </c>
      <c r="O27" s="8"/>
      <c r="P27" s="7" t="str">
        <f t="shared" si="5"/>
        <v/>
      </c>
      <c r="Q27" s="6"/>
      <c r="R27" s="6"/>
      <c r="S27" s="8"/>
      <c r="T27" s="8"/>
      <c r="U27" s="6">
        <v>45.7</v>
      </c>
      <c r="V27" s="5"/>
    </row>
    <row r="28" ht="15.75" customHeight="1">
      <c r="A28" s="4" t="s">
        <v>90</v>
      </c>
      <c r="B28" s="4" t="s">
        <v>91</v>
      </c>
      <c r="C28" s="4" t="s">
        <v>39</v>
      </c>
      <c r="D28" s="5">
        <v>30518.0</v>
      </c>
      <c r="E28" s="5">
        <v>1.1655923E7</v>
      </c>
      <c r="F28" s="6">
        <f t="shared" si="1"/>
        <v>381.936005</v>
      </c>
      <c r="G28" s="5">
        <v>34339.0</v>
      </c>
      <c r="H28" s="6">
        <f t="shared" si="2"/>
        <v>294.6055838</v>
      </c>
      <c r="I28" s="7">
        <f t="shared" si="3"/>
        <v>23</v>
      </c>
      <c r="J28" s="6">
        <v>198.7</v>
      </c>
      <c r="K28" s="7">
        <f t="shared" si="4"/>
        <v>62</v>
      </c>
      <c r="L28" s="6">
        <v>275.7</v>
      </c>
      <c r="M28" s="5">
        <v>37446.0</v>
      </c>
      <c r="N28" s="6">
        <v>321.3</v>
      </c>
      <c r="O28" s="8">
        <v>44193.0</v>
      </c>
      <c r="P28" s="7">
        <f t="shared" si="5"/>
        <v>20</v>
      </c>
      <c r="Q28" s="6">
        <v>35.14</v>
      </c>
      <c r="R28" s="6">
        <v>75.75</v>
      </c>
      <c r="S28" s="8">
        <v>44398.0</v>
      </c>
      <c r="T28" s="8">
        <v>44438.0</v>
      </c>
      <c r="U28" s="6">
        <v>41.8</v>
      </c>
      <c r="V28" s="5">
        <v>42658.576</v>
      </c>
    </row>
    <row r="29" ht="15.75" customHeight="1">
      <c r="A29" s="4" t="s">
        <v>92</v>
      </c>
      <c r="B29" s="4" t="s">
        <v>93</v>
      </c>
      <c r="C29" s="4" t="s">
        <v>36</v>
      </c>
      <c r="D29" s="5">
        <v>406752.0</v>
      </c>
      <c r="E29" s="5">
        <v>6780745.0</v>
      </c>
      <c r="F29" s="6">
        <f t="shared" si="1"/>
        <v>16.67046505</v>
      </c>
      <c r="G29" s="5">
        <v>19880.0</v>
      </c>
      <c r="H29" s="6">
        <f t="shared" si="2"/>
        <v>293.1831237</v>
      </c>
      <c r="I29" s="7">
        <f t="shared" si="3"/>
        <v>24</v>
      </c>
      <c r="J29" s="6">
        <v>317.3</v>
      </c>
      <c r="K29" s="7">
        <f t="shared" si="4"/>
        <v>30</v>
      </c>
      <c r="L29" s="6">
        <v>392.4</v>
      </c>
      <c r="M29" s="5">
        <v>24819.0</v>
      </c>
      <c r="N29" s="6">
        <v>366.0</v>
      </c>
      <c r="O29" s="8">
        <v>44249.0</v>
      </c>
      <c r="P29" s="7">
        <f t="shared" si="5"/>
        <v>76</v>
      </c>
      <c r="Q29" s="6">
        <v>2.46</v>
      </c>
      <c r="R29" s="6">
        <v>43.48</v>
      </c>
      <c r="S29" s="8">
        <v>44694.0</v>
      </c>
      <c r="T29" s="8"/>
      <c r="U29" s="6">
        <v>26.5</v>
      </c>
      <c r="V29" s="5">
        <v>8827.01</v>
      </c>
    </row>
    <row r="30" ht="15.75" customHeight="1">
      <c r="A30" s="4" t="s">
        <v>94</v>
      </c>
      <c r="B30" s="4" t="s">
        <v>95</v>
      </c>
      <c r="C30" s="4" t="s">
        <v>36</v>
      </c>
      <c r="D30" s="5">
        <v>2780400.0</v>
      </c>
      <c r="E30" s="5">
        <v>4.5510324E7</v>
      </c>
      <c r="F30" s="6">
        <f t="shared" si="1"/>
        <v>16.368265</v>
      </c>
      <c r="G30" s="5">
        <v>130663.0</v>
      </c>
      <c r="H30" s="6">
        <f t="shared" si="2"/>
        <v>287.1062838</v>
      </c>
      <c r="I30" s="7">
        <f t="shared" si="3"/>
        <v>25</v>
      </c>
      <c r="J30" s="6">
        <v>288.2</v>
      </c>
      <c r="K30" s="7">
        <f t="shared" si="4"/>
        <v>37</v>
      </c>
      <c r="L30" s="6">
        <v>416.2</v>
      </c>
      <c r="M30" s="5">
        <v>279748.0</v>
      </c>
      <c r="N30" s="6">
        <v>614.7</v>
      </c>
      <c r="O30" s="8">
        <v>44194.0</v>
      </c>
      <c r="P30" s="7">
        <f t="shared" si="5"/>
        <v>21</v>
      </c>
      <c r="Q30" s="6">
        <v>9.49</v>
      </c>
      <c r="R30" s="6">
        <v>67.63</v>
      </c>
      <c r="S30" s="8">
        <v>44485.0</v>
      </c>
      <c r="T30" s="8">
        <v>44575.0</v>
      </c>
      <c r="U30" s="6">
        <v>31.9</v>
      </c>
      <c r="V30" s="5">
        <v>18933.907</v>
      </c>
    </row>
    <row r="31" ht="15.75" customHeight="1">
      <c r="A31" s="4" t="s">
        <v>96</v>
      </c>
      <c r="B31" s="4" t="s">
        <v>97</v>
      </c>
      <c r="C31" s="4" t="s">
        <v>71</v>
      </c>
      <c r="D31" s="5">
        <v>5130.0</v>
      </c>
      <c r="E31" s="5">
        <v>1531043.0</v>
      </c>
      <c r="F31" s="6">
        <f t="shared" si="1"/>
        <v>298.4489279</v>
      </c>
      <c r="G31" s="5">
        <v>4390.0</v>
      </c>
      <c r="H31" s="6">
        <f t="shared" si="2"/>
        <v>286.7326391</v>
      </c>
      <c r="I31" s="7">
        <f t="shared" si="3"/>
        <v>26</v>
      </c>
      <c r="J31" s="6">
        <v>205.4</v>
      </c>
      <c r="K31" s="7">
        <f t="shared" si="4"/>
        <v>57</v>
      </c>
      <c r="L31" s="6">
        <v>327.8</v>
      </c>
      <c r="M31" s="5">
        <v>5514.0</v>
      </c>
      <c r="N31" s="6">
        <v>360.1</v>
      </c>
      <c r="O31" s="8">
        <v>44243.0</v>
      </c>
      <c r="P31" s="7">
        <f t="shared" si="5"/>
        <v>70</v>
      </c>
      <c r="Q31" s="6">
        <v>5.81</v>
      </c>
      <c r="R31" s="6">
        <v>43.68</v>
      </c>
      <c r="S31" s="8"/>
      <c r="T31" s="8"/>
      <c r="U31" s="6">
        <v>36.2</v>
      </c>
      <c r="V31" s="5">
        <v>28763.071</v>
      </c>
    </row>
    <row r="32" ht="15.75" customHeight="1">
      <c r="A32" s="4" t="s">
        <v>98</v>
      </c>
      <c r="B32" s="4" t="s">
        <v>99</v>
      </c>
      <c r="C32" s="4" t="s">
        <v>39</v>
      </c>
      <c r="D32" s="5">
        <v>91982.0</v>
      </c>
      <c r="E32" s="5">
        <v>1.0270857E7</v>
      </c>
      <c r="F32" s="6">
        <f t="shared" si="1"/>
        <v>111.6615968</v>
      </c>
      <c r="G32" s="5">
        <v>28809.0</v>
      </c>
      <c r="H32" s="6">
        <f t="shared" si="2"/>
        <v>280.49266</v>
      </c>
      <c r="I32" s="7">
        <f t="shared" si="3"/>
        <v>27</v>
      </c>
      <c r="J32" s="6">
        <v>241.4</v>
      </c>
      <c r="K32" s="7">
        <f t="shared" si="4"/>
        <v>49</v>
      </c>
      <c r="L32" s="6">
        <v>359.1</v>
      </c>
      <c r="M32" s="5">
        <v>43046.0</v>
      </c>
      <c r="N32" s="6">
        <v>419.1</v>
      </c>
      <c r="O32" s="8">
        <v>44197.0</v>
      </c>
      <c r="P32" s="7">
        <f t="shared" si="5"/>
        <v>24</v>
      </c>
      <c r="Q32" s="6">
        <v>32.47</v>
      </c>
      <c r="R32" s="6">
        <v>83.15</v>
      </c>
      <c r="S32" s="8">
        <v>44400.0</v>
      </c>
      <c r="T32" s="8">
        <v>44435.0</v>
      </c>
      <c r="U32" s="6">
        <v>46.2</v>
      </c>
      <c r="V32" s="5">
        <v>27936.896</v>
      </c>
    </row>
    <row r="33" ht="15.75" customHeight="1">
      <c r="A33" s="4" t="s">
        <v>100</v>
      </c>
      <c r="B33" s="4" t="s">
        <v>101</v>
      </c>
      <c r="C33" s="4" t="s">
        <v>39</v>
      </c>
      <c r="D33" s="5">
        <v>1.70754E7</v>
      </c>
      <c r="E33" s="5">
        <v>1.44713312E8</v>
      </c>
      <c r="F33" s="6">
        <f t="shared" si="1"/>
        <v>8.47495883</v>
      </c>
      <c r="G33" s="5">
        <v>403188.0</v>
      </c>
      <c r="H33" s="6">
        <f t="shared" si="2"/>
        <v>278.6115489</v>
      </c>
      <c r="I33" s="7">
        <f t="shared" si="3"/>
        <v>28</v>
      </c>
      <c r="J33" s="6">
        <v>744.4</v>
      </c>
      <c r="K33" s="7">
        <f t="shared" si="4"/>
        <v>3</v>
      </c>
      <c r="L33" s="6">
        <v>948.9</v>
      </c>
      <c r="M33" s="5">
        <v>1470253.0</v>
      </c>
      <c r="N33" s="6">
        <v>1016.0</v>
      </c>
      <c r="O33" s="8">
        <v>44170.0</v>
      </c>
      <c r="P33" s="7">
        <f t="shared" si="5"/>
        <v>-3</v>
      </c>
      <c r="Q33" s="6">
        <v>11.98</v>
      </c>
      <c r="R33" s="6">
        <v>46.14</v>
      </c>
      <c r="S33" s="8">
        <v>44640.0</v>
      </c>
      <c r="T33" s="8"/>
      <c r="U33" s="6">
        <v>39.6</v>
      </c>
      <c r="V33" s="5">
        <v>24765.954</v>
      </c>
    </row>
    <row r="34" ht="15.75" customHeight="1">
      <c r="A34" s="4" t="s">
        <v>102</v>
      </c>
      <c r="B34" s="4" t="s">
        <v>103</v>
      </c>
      <c r="C34" s="4" t="s">
        <v>39</v>
      </c>
      <c r="D34" s="5">
        <v>603700.0</v>
      </c>
      <c r="E34" s="5">
        <v>3.9701744E7</v>
      </c>
      <c r="F34" s="6">
        <f t="shared" si="1"/>
        <v>65.76402849</v>
      </c>
      <c r="G34" s="5">
        <v>109920.0</v>
      </c>
      <c r="H34" s="6">
        <f t="shared" si="2"/>
        <v>276.8644118</v>
      </c>
      <c r="I34" s="7">
        <f t="shared" si="3"/>
        <v>29</v>
      </c>
      <c r="J34" s="6">
        <v>482.5</v>
      </c>
      <c r="K34" s="7">
        <f t="shared" si="4"/>
        <v>15</v>
      </c>
      <c r="L34" s="6">
        <v>608.3</v>
      </c>
      <c r="M34" s="5">
        <v>238156.0</v>
      </c>
      <c r="N34" s="6">
        <v>599.9</v>
      </c>
      <c r="O34" s="8">
        <v>44251.0</v>
      </c>
      <c r="P34" s="7">
        <f t="shared" si="5"/>
        <v>78</v>
      </c>
      <c r="Q34" s="6">
        <v>1.79</v>
      </c>
      <c r="R34" s="6">
        <v>34.65</v>
      </c>
      <c r="S34" s="8"/>
      <c r="T34" s="8"/>
      <c r="U34" s="6">
        <v>41.4</v>
      </c>
      <c r="V34" s="5">
        <v>7894.393</v>
      </c>
    </row>
    <row r="35" ht="15.75" customHeight="1">
      <c r="A35" s="4" t="s">
        <v>104</v>
      </c>
      <c r="B35" s="4" t="s">
        <v>105</v>
      </c>
      <c r="C35" s="4" t="s">
        <v>36</v>
      </c>
      <c r="D35" s="5">
        <v>1138914.0</v>
      </c>
      <c r="E35" s="5">
        <v>5.1874028E7</v>
      </c>
      <c r="F35" s="6">
        <f t="shared" si="1"/>
        <v>45.54692277</v>
      </c>
      <c r="G35" s="5">
        <v>142727.0</v>
      </c>
      <c r="H35" s="6">
        <f t="shared" si="2"/>
        <v>275.141541</v>
      </c>
      <c r="I35" s="7">
        <f t="shared" si="3"/>
        <v>30</v>
      </c>
      <c r="J35" s="6">
        <v>315.2</v>
      </c>
      <c r="K35" s="7">
        <f t="shared" si="4"/>
        <v>31</v>
      </c>
      <c r="L35" s="6">
        <v>365.8</v>
      </c>
      <c r="M35" s="5">
        <v>211439.0</v>
      </c>
      <c r="N35" s="6">
        <v>407.6</v>
      </c>
      <c r="O35" s="8">
        <v>44244.0</v>
      </c>
      <c r="P35" s="7">
        <f t="shared" si="5"/>
        <v>71</v>
      </c>
      <c r="Q35" s="6">
        <v>13.29</v>
      </c>
      <c r="R35" s="6">
        <v>54.6</v>
      </c>
      <c r="S35" s="8">
        <v>44540.0</v>
      </c>
      <c r="T35" s="8">
        <v>44771.0</v>
      </c>
      <c r="U35" s="6">
        <v>32.2</v>
      </c>
      <c r="V35" s="5">
        <v>13254.949</v>
      </c>
    </row>
    <row r="36" ht="15.75" customHeight="1">
      <c r="A36" s="4" t="s">
        <v>106</v>
      </c>
      <c r="B36" s="4" t="s">
        <v>107</v>
      </c>
      <c r="C36" s="4" t="s">
        <v>71</v>
      </c>
      <c r="D36" s="5">
        <v>193.0</v>
      </c>
      <c r="E36" s="5">
        <v>106459.0</v>
      </c>
      <c r="F36" s="6">
        <f t="shared" si="1"/>
        <v>551.6010363</v>
      </c>
      <c r="G36" s="5">
        <v>292.0</v>
      </c>
      <c r="H36" s="6">
        <f t="shared" si="2"/>
        <v>274.2839967</v>
      </c>
      <c r="I36" s="7" t="str">
        <f t="shared" si="3"/>
        <v/>
      </c>
      <c r="J36" s="6">
        <v>314.8</v>
      </c>
      <c r="K36" s="7" t="str">
        <f t="shared" si="4"/>
        <v/>
      </c>
      <c r="L36" s="6">
        <v>428.1</v>
      </c>
      <c r="M36" s="5">
        <v>516.0</v>
      </c>
      <c r="N36" s="6">
        <v>485.1</v>
      </c>
      <c r="O36" s="8">
        <v>44284.0</v>
      </c>
      <c r="P36" s="7">
        <f t="shared" si="5"/>
        <v>111</v>
      </c>
      <c r="Q36" s="6">
        <v>55.82</v>
      </c>
      <c r="R36" s="6">
        <v>74.21</v>
      </c>
      <c r="S36" s="8">
        <v>44356.0</v>
      </c>
      <c r="T36" s="8">
        <v>44466.0</v>
      </c>
      <c r="U36" s="6">
        <v>41.2</v>
      </c>
      <c r="V36" s="5">
        <v>35973.781</v>
      </c>
    </row>
    <row r="37" ht="15.75" customHeight="1">
      <c r="A37" s="4" t="s">
        <v>108</v>
      </c>
      <c r="B37" s="4" t="s">
        <v>109</v>
      </c>
      <c r="C37" s="4" t="s">
        <v>39</v>
      </c>
      <c r="D37" s="5">
        <v>88361.0</v>
      </c>
      <c r="E37" s="5">
        <v>6871547.0</v>
      </c>
      <c r="F37" s="6">
        <f t="shared" si="1"/>
        <v>77.76674098</v>
      </c>
      <c r="G37" s="5">
        <v>18057.0</v>
      </c>
      <c r="H37" s="6">
        <f t="shared" si="2"/>
        <v>262.7792548</v>
      </c>
      <c r="I37" s="7">
        <f t="shared" si="3"/>
        <v>31</v>
      </c>
      <c r="J37" s="6">
        <v>757.2</v>
      </c>
      <c r="K37" s="7">
        <f t="shared" si="4"/>
        <v>2</v>
      </c>
      <c r="L37" s="6">
        <v>920.2</v>
      </c>
      <c r="M37" s="5">
        <v>58885.0</v>
      </c>
      <c r="N37" s="6">
        <v>856.9</v>
      </c>
      <c r="O37" s="8">
        <v>44204.0</v>
      </c>
      <c r="P37" s="7">
        <f t="shared" si="5"/>
        <v>31</v>
      </c>
      <c r="Q37" s="6">
        <v>35.69</v>
      </c>
      <c r="R37" s="6">
        <v>46.68</v>
      </c>
      <c r="S37" s="8"/>
      <c r="T37" s="8"/>
      <c r="U37" s="6">
        <v>41.2</v>
      </c>
      <c r="V37" s="5">
        <v>14048.881</v>
      </c>
    </row>
    <row r="38" ht="15.75" customHeight="1">
      <c r="A38" s="4" t="s">
        <v>110</v>
      </c>
      <c r="B38" s="4" t="s">
        <v>111</v>
      </c>
      <c r="C38" s="4" t="s">
        <v>71</v>
      </c>
      <c r="D38" s="5">
        <v>1958201.0</v>
      </c>
      <c r="E38" s="5">
        <v>1.2750412E8</v>
      </c>
      <c r="F38" s="6">
        <f t="shared" si="1"/>
        <v>65.11288678</v>
      </c>
      <c r="G38" s="5">
        <v>334551.0</v>
      </c>
      <c r="H38" s="6">
        <f t="shared" si="2"/>
        <v>262.3844626</v>
      </c>
      <c r="I38" s="7">
        <f t="shared" si="3"/>
        <v>32</v>
      </c>
      <c r="J38" s="6">
        <v>508.3</v>
      </c>
      <c r="K38" s="7">
        <f t="shared" si="4"/>
        <v>12</v>
      </c>
      <c r="L38" s="6">
        <v>543.4</v>
      </c>
      <c r="M38" s="5">
        <v>652356.0</v>
      </c>
      <c r="N38" s="6">
        <v>511.6</v>
      </c>
      <c r="O38" s="8">
        <v>44189.0</v>
      </c>
      <c r="P38" s="7">
        <f t="shared" si="5"/>
        <v>16</v>
      </c>
      <c r="Q38" s="6">
        <v>15.35</v>
      </c>
      <c r="R38" s="6">
        <v>57.08</v>
      </c>
      <c r="S38" s="8">
        <v>44520.0</v>
      </c>
      <c r="T38" s="8"/>
      <c r="U38" s="6">
        <v>29.3</v>
      </c>
      <c r="V38" s="5">
        <v>17336.469</v>
      </c>
    </row>
    <row r="39" ht="15.75" customHeight="1">
      <c r="A39" s="4" t="s">
        <v>112</v>
      </c>
      <c r="B39" s="4" t="s">
        <v>113</v>
      </c>
      <c r="C39" s="4" t="s">
        <v>39</v>
      </c>
      <c r="D39" s="5">
        <v>449964.0</v>
      </c>
      <c r="E39" s="5">
        <v>1.0549349E7</v>
      </c>
      <c r="F39" s="6">
        <f t="shared" si="1"/>
        <v>23.44487337</v>
      </c>
      <c r="G39" s="5">
        <v>27399.0</v>
      </c>
      <c r="H39" s="6">
        <f t="shared" si="2"/>
        <v>259.7221876</v>
      </c>
      <c r="I39" s="7">
        <f t="shared" si="3"/>
        <v>33</v>
      </c>
      <c r="J39" s="6">
        <v>112.8</v>
      </c>
      <c r="K39" s="7">
        <f t="shared" si="4"/>
        <v>98</v>
      </c>
      <c r="L39" s="6">
        <v>172.8</v>
      </c>
      <c r="M39" s="5">
        <v>26297.0</v>
      </c>
      <c r="N39" s="6">
        <v>249.3</v>
      </c>
      <c r="O39" s="8">
        <v>44199.0</v>
      </c>
      <c r="P39" s="7">
        <f t="shared" si="5"/>
        <v>26</v>
      </c>
      <c r="Q39" s="6">
        <v>28.86</v>
      </c>
      <c r="R39" s="6">
        <v>68.78</v>
      </c>
      <c r="S39" s="8">
        <v>44437.0</v>
      </c>
      <c r="T39" s="8">
        <v>44584.0</v>
      </c>
      <c r="U39" s="6">
        <v>41.0</v>
      </c>
      <c r="V39" s="5">
        <v>46949.283</v>
      </c>
    </row>
    <row r="40" ht="15.75" customHeight="1">
      <c r="A40" s="4" t="s">
        <v>114</v>
      </c>
      <c r="B40" s="4" t="s">
        <v>115</v>
      </c>
      <c r="C40" s="4" t="s">
        <v>71</v>
      </c>
      <c r="D40" s="5">
        <v>1705.0</v>
      </c>
      <c r="E40" s="5">
        <v>395762.0</v>
      </c>
      <c r="F40" s="6">
        <f t="shared" si="1"/>
        <v>232.1184751</v>
      </c>
      <c r="G40" s="5">
        <v>1021.0</v>
      </c>
      <c r="H40" s="6">
        <f t="shared" si="2"/>
        <v>257.9833334</v>
      </c>
      <c r="I40" s="7" t="str">
        <f t="shared" si="3"/>
        <v/>
      </c>
      <c r="J40" s="6">
        <v>368.4</v>
      </c>
      <c r="K40" s="7" t="str">
        <f t="shared" si="4"/>
        <v/>
      </c>
      <c r="L40" s="6">
        <v>528.9</v>
      </c>
      <c r="M40" s="5">
        <v>2058.0</v>
      </c>
      <c r="N40" s="6">
        <v>520.0</v>
      </c>
      <c r="O40" s="8"/>
      <c r="P40" s="7" t="str">
        <f t="shared" si="5"/>
        <v/>
      </c>
      <c r="Q40" s="6"/>
      <c r="R40" s="6"/>
      <c r="S40" s="8"/>
      <c r="T40" s="8"/>
      <c r="U40" s="6">
        <v>43.4</v>
      </c>
      <c r="V40" s="5"/>
    </row>
    <row r="41" ht="15.75" customHeight="1">
      <c r="A41" s="4" t="s">
        <v>116</v>
      </c>
      <c r="B41" s="4" t="s">
        <v>117</v>
      </c>
      <c r="C41" s="4" t="s">
        <v>71</v>
      </c>
      <c r="D41" s="5">
        <v>53.0</v>
      </c>
      <c r="E41" s="5">
        <v>64207.0</v>
      </c>
      <c r="F41" s="6">
        <f t="shared" si="1"/>
        <v>1211.45283</v>
      </c>
      <c r="G41" s="5">
        <v>165.0</v>
      </c>
      <c r="H41" s="6">
        <f t="shared" si="2"/>
        <v>256.981326</v>
      </c>
      <c r="I41" s="7" t="str">
        <f t="shared" si="3"/>
        <v/>
      </c>
      <c r="J41" s="6">
        <v>315.7</v>
      </c>
      <c r="K41" s="7" t="str">
        <f t="shared" si="4"/>
        <v/>
      </c>
      <c r="L41" s="6">
        <v>468.0</v>
      </c>
      <c r="M41" s="5">
        <v>360.0</v>
      </c>
      <c r="N41" s="6">
        <v>561.0</v>
      </c>
      <c r="O41" s="8">
        <v>44207.0</v>
      </c>
      <c r="P41" s="7">
        <f t="shared" si="5"/>
        <v>34</v>
      </c>
      <c r="Q41" s="6">
        <v>55.54</v>
      </c>
      <c r="R41" s="6">
        <v>70.42</v>
      </c>
      <c r="S41" s="8">
        <v>44340.0</v>
      </c>
      <c r="T41" s="8">
        <v>44540.0</v>
      </c>
      <c r="U41" s="6"/>
      <c r="V41" s="5">
        <v>50669.315</v>
      </c>
    </row>
    <row r="42" ht="15.75" customHeight="1">
      <c r="A42" s="4" t="s">
        <v>118</v>
      </c>
      <c r="B42" s="4" t="s">
        <v>119</v>
      </c>
      <c r="C42" s="4" t="s">
        <v>39</v>
      </c>
      <c r="D42" s="5">
        <v>505992.0</v>
      </c>
      <c r="E42" s="5">
        <v>4.7558632E7</v>
      </c>
      <c r="F42" s="6">
        <f t="shared" si="1"/>
        <v>93.99087733</v>
      </c>
      <c r="G42" s="5">
        <v>121852.0</v>
      </c>
      <c r="H42" s="6">
        <f t="shared" si="2"/>
        <v>256.2142662</v>
      </c>
      <c r="I42" s="7">
        <f t="shared" si="3"/>
        <v>34</v>
      </c>
      <c r="J42" s="6">
        <v>230.2</v>
      </c>
      <c r="K42" s="7">
        <f t="shared" si="4"/>
        <v>51</v>
      </c>
      <c r="L42" s="6">
        <v>328.7</v>
      </c>
      <c r="M42" s="5">
        <v>182848.0</v>
      </c>
      <c r="N42" s="6">
        <v>384.5</v>
      </c>
      <c r="O42" s="8">
        <v>44192.0</v>
      </c>
      <c r="P42" s="7">
        <f t="shared" si="5"/>
        <v>19</v>
      </c>
      <c r="Q42" s="6">
        <v>37.83</v>
      </c>
      <c r="R42" s="6">
        <v>79.63</v>
      </c>
      <c r="S42" s="8">
        <v>44395.0</v>
      </c>
      <c r="T42" s="8">
        <v>44439.0</v>
      </c>
      <c r="U42" s="6">
        <v>45.5</v>
      </c>
      <c r="V42" s="5">
        <v>34272.36</v>
      </c>
    </row>
    <row r="43" ht="15.75" customHeight="1">
      <c r="A43" s="4" t="s">
        <v>120</v>
      </c>
      <c r="B43" s="4" t="s">
        <v>121</v>
      </c>
      <c r="C43" s="4" t="s">
        <v>39</v>
      </c>
      <c r="D43" s="5">
        <v>83859.0</v>
      </c>
      <c r="E43" s="5">
        <v>8939617.0</v>
      </c>
      <c r="F43" s="6">
        <f t="shared" si="1"/>
        <v>106.6029526</v>
      </c>
      <c r="G43" s="5">
        <v>22534.0</v>
      </c>
      <c r="H43" s="6">
        <f t="shared" si="2"/>
        <v>252.0689645</v>
      </c>
      <c r="I43" s="7">
        <f t="shared" si="3"/>
        <v>35</v>
      </c>
      <c r="J43" s="6">
        <v>182.6</v>
      </c>
      <c r="K43" s="7">
        <f t="shared" si="4"/>
        <v>70</v>
      </c>
      <c r="L43" s="6">
        <v>292.5</v>
      </c>
      <c r="M43" s="5">
        <v>32862.0</v>
      </c>
      <c r="N43" s="6">
        <v>367.6</v>
      </c>
      <c r="O43" s="8">
        <v>44204.0</v>
      </c>
      <c r="P43" s="7">
        <f t="shared" si="5"/>
        <v>31</v>
      </c>
      <c r="Q43" s="6">
        <v>33.57</v>
      </c>
      <c r="R43" s="6">
        <v>70.64</v>
      </c>
      <c r="S43" s="8">
        <v>44407.0</v>
      </c>
      <c r="T43" s="8">
        <v>44554.0</v>
      </c>
      <c r="U43" s="6">
        <v>44.4</v>
      </c>
      <c r="V43" s="5">
        <v>45436.686</v>
      </c>
    </row>
    <row r="44" ht="15.75" customHeight="1">
      <c r="A44" s="4" t="s">
        <v>122</v>
      </c>
      <c r="B44" s="4" t="s">
        <v>123</v>
      </c>
      <c r="C44" s="4" t="s">
        <v>39</v>
      </c>
      <c r="D44" s="5">
        <v>551500.0</v>
      </c>
      <c r="E44" s="5">
        <v>6.7813E7</v>
      </c>
      <c r="F44" s="6">
        <f t="shared" si="1"/>
        <v>122.9610154</v>
      </c>
      <c r="G44" s="5">
        <v>168091.0</v>
      </c>
      <c r="H44" s="6">
        <f t="shared" si="2"/>
        <v>247.8743014</v>
      </c>
      <c r="I44" s="7">
        <f t="shared" si="3"/>
        <v>36</v>
      </c>
      <c r="J44" s="6">
        <v>143.9</v>
      </c>
      <c r="K44" s="7">
        <f t="shared" si="4"/>
        <v>82</v>
      </c>
      <c r="L44" s="6">
        <v>220.7</v>
      </c>
      <c r="M44" s="5">
        <v>165680.0</v>
      </c>
      <c r="N44" s="6">
        <v>244.3</v>
      </c>
      <c r="O44" s="8">
        <v>44192.0</v>
      </c>
      <c r="P44" s="7">
        <f t="shared" si="5"/>
        <v>19</v>
      </c>
      <c r="Q44" s="6">
        <v>31.27</v>
      </c>
      <c r="R44" s="6">
        <v>73.21</v>
      </c>
      <c r="S44" s="8">
        <v>44415.0</v>
      </c>
      <c r="T44" s="8">
        <v>44533.0</v>
      </c>
      <c r="U44" s="6">
        <v>42.0</v>
      </c>
      <c r="V44" s="5">
        <v>38605.671</v>
      </c>
    </row>
    <row r="45" ht="15.75" customHeight="1">
      <c r="A45" s="4" t="s">
        <v>124</v>
      </c>
      <c r="B45" s="4" t="s">
        <v>125</v>
      </c>
      <c r="C45" s="4" t="s">
        <v>126</v>
      </c>
      <c r="D45" s="5">
        <v>549.0</v>
      </c>
      <c r="E45" s="5">
        <v>171783.0</v>
      </c>
      <c r="F45" s="6">
        <f t="shared" si="1"/>
        <v>312.9016393</v>
      </c>
      <c r="G45" s="5">
        <v>419.0</v>
      </c>
      <c r="H45" s="6">
        <f t="shared" si="2"/>
        <v>243.9123778</v>
      </c>
      <c r="I45" s="7" t="str">
        <f t="shared" si="3"/>
        <v/>
      </c>
      <c r="J45" s="6">
        <v>317.1</v>
      </c>
      <c r="K45" s="7" t="str">
        <f t="shared" si="4"/>
        <v/>
      </c>
      <c r="L45" s="6">
        <v>496.7</v>
      </c>
      <c r="M45" s="5">
        <v>912.0</v>
      </c>
      <c r="N45" s="6">
        <v>531.1</v>
      </c>
      <c r="O45" s="8"/>
      <c r="P45" s="7" t="str">
        <f t="shared" si="5"/>
        <v/>
      </c>
      <c r="Q45" s="6"/>
      <c r="R45" s="6"/>
      <c r="S45" s="8"/>
      <c r="T45" s="8"/>
      <c r="U45" s="6">
        <v>31.4</v>
      </c>
      <c r="V45" s="5"/>
    </row>
    <row r="46" ht="15.75" customHeight="1">
      <c r="A46" s="4" t="s">
        <v>127</v>
      </c>
      <c r="B46" s="4" t="s">
        <v>128</v>
      </c>
      <c r="C46" s="4" t="s">
        <v>129</v>
      </c>
      <c r="D46" s="5">
        <v>163610.0</v>
      </c>
      <c r="E46" s="5">
        <v>1.2356116E7</v>
      </c>
      <c r="F46" s="6">
        <f t="shared" si="1"/>
        <v>75.52176517</v>
      </c>
      <c r="G46" s="5">
        <v>29423.0</v>
      </c>
      <c r="H46" s="6">
        <f t="shared" si="2"/>
        <v>238.1249901</v>
      </c>
      <c r="I46" s="7">
        <f t="shared" si="3"/>
        <v>37</v>
      </c>
      <c r="J46" s="6">
        <v>185.5</v>
      </c>
      <c r="K46" s="7">
        <f t="shared" si="4"/>
        <v>67</v>
      </c>
      <c r="L46" s="6">
        <v>232.2</v>
      </c>
      <c r="M46" s="5">
        <v>28030.0</v>
      </c>
      <c r="N46" s="6">
        <v>226.9</v>
      </c>
      <c r="O46" s="8">
        <v>44268.0</v>
      </c>
      <c r="P46" s="7">
        <f t="shared" si="5"/>
        <v>95</v>
      </c>
      <c r="Q46" s="6">
        <v>4.48</v>
      </c>
      <c r="R46" s="6">
        <v>47.93</v>
      </c>
      <c r="S46" s="8">
        <v>44583.0</v>
      </c>
      <c r="T46" s="8"/>
      <c r="U46" s="6">
        <v>32.7</v>
      </c>
      <c r="V46" s="5">
        <v>10849.297</v>
      </c>
    </row>
    <row r="47" ht="15.75" customHeight="1">
      <c r="A47" s="4" t="s">
        <v>130</v>
      </c>
      <c r="B47" s="4" t="s">
        <v>131</v>
      </c>
      <c r="C47" s="4" t="s">
        <v>71</v>
      </c>
      <c r="D47" s="5">
        <v>622.0</v>
      </c>
      <c r="E47" s="5">
        <v>179872.0</v>
      </c>
      <c r="F47" s="6">
        <f t="shared" si="1"/>
        <v>289.1832797</v>
      </c>
      <c r="G47" s="5">
        <v>410.0</v>
      </c>
      <c r="H47" s="6">
        <f t="shared" si="2"/>
        <v>227.9398684</v>
      </c>
      <c r="I47" s="7" t="str">
        <f t="shared" si="3"/>
        <v/>
      </c>
      <c r="J47" s="6">
        <v>146.8</v>
      </c>
      <c r="K47" s="7" t="str">
        <f t="shared" si="4"/>
        <v/>
      </c>
      <c r="L47" s="6">
        <v>257.6</v>
      </c>
      <c r="M47" s="5">
        <v>523.0</v>
      </c>
      <c r="N47" s="6">
        <v>290.7</v>
      </c>
      <c r="O47" s="8">
        <v>44244.0</v>
      </c>
      <c r="P47" s="7">
        <f t="shared" si="5"/>
        <v>71</v>
      </c>
      <c r="Q47" s="6">
        <v>12.21</v>
      </c>
      <c r="R47" s="6">
        <v>27.42</v>
      </c>
      <c r="S47" s="8"/>
      <c r="T47" s="8"/>
      <c r="U47" s="6">
        <v>34.9</v>
      </c>
      <c r="V47" s="5">
        <v>12951.839</v>
      </c>
    </row>
    <row r="48" ht="15.75" customHeight="1">
      <c r="A48" s="4" t="s">
        <v>132</v>
      </c>
      <c r="B48" s="4" t="s">
        <v>133</v>
      </c>
      <c r="C48" s="4" t="s">
        <v>36</v>
      </c>
      <c r="D48" s="5">
        <v>163265.0</v>
      </c>
      <c r="E48" s="5">
        <v>618046.0</v>
      </c>
      <c r="F48" s="6">
        <f t="shared" si="1"/>
        <v>3.785538848</v>
      </c>
      <c r="G48" s="5">
        <v>1406.0</v>
      </c>
      <c r="H48" s="6">
        <f t="shared" si="2"/>
        <v>227.4911576</v>
      </c>
      <c r="I48" s="7" t="str">
        <f t="shared" si="3"/>
        <v/>
      </c>
      <c r="J48" s="6">
        <v>250.5</v>
      </c>
      <c r="K48" s="7" t="str">
        <f t="shared" si="4"/>
        <v/>
      </c>
      <c r="L48" s="6">
        <v>319.0</v>
      </c>
      <c r="M48" s="5">
        <v>2087.0</v>
      </c>
      <c r="N48" s="6">
        <v>337.7</v>
      </c>
      <c r="O48" s="8">
        <v>44250.0</v>
      </c>
      <c r="P48" s="7">
        <f t="shared" si="5"/>
        <v>77</v>
      </c>
      <c r="Q48" s="6">
        <v>5.81</v>
      </c>
      <c r="R48" s="6">
        <v>36.93</v>
      </c>
      <c r="S48" s="8"/>
      <c r="T48" s="8"/>
      <c r="U48" s="6">
        <v>29.6</v>
      </c>
      <c r="V48" s="5">
        <v>13767.119</v>
      </c>
    </row>
    <row r="49" ht="15.75" customHeight="1">
      <c r="A49" s="4" t="s">
        <v>134</v>
      </c>
      <c r="B49" s="4" t="s">
        <v>135</v>
      </c>
      <c r="C49" s="4" t="s">
        <v>39</v>
      </c>
      <c r="D49" s="5">
        <v>45227.0</v>
      </c>
      <c r="E49" s="5">
        <v>1326064.0</v>
      </c>
      <c r="F49" s="6">
        <f t="shared" si="1"/>
        <v>29.32018485</v>
      </c>
      <c r="G49" s="5">
        <v>2998.0</v>
      </c>
      <c r="H49" s="6">
        <f t="shared" si="2"/>
        <v>226.0826023</v>
      </c>
      <c r="I49" s="7">
        <f t="shared" si="3"/>
        <v>38</v>
      </c>
      <c r="J49" s="6">
        <v>261.7</v>
      </c>
      <c r="K49" s="7">
        <f t="shared" si="4"/>
        <v>44</v>
      </c>
      <c r="L49" s="6">
        <v>396.1</v>
      </c>
      <c r="M49" s="5">
        <v>6106.0</v>
      </c>
      <c r="N49" s="6">
        <v>460.4</v>
      </c>
      <c r="O49" s="8">
        <v>44192.0</v>
      </c>
      <c r="P49" s="7">
        <f t="shared" si="5"/>
        <v>19</v>
      </c>
      <c r="Q49" s="6">
        <v>33.91</v>
      </c>
      <c r="R49" s="6">
        <v>62.42</v>
      </c>
      <c r="S49" s="8">
        <v>44446.0</v>
      </c>
      <c r="T49" s="8"/>
      <c r="U49" s="6">
        <v>42.7</v>
      </c>
      <c r="V49" s="5">
        <v>29481.252</v>
      </c>
    </row>
    <row r="50" ht="15.75" customHeight="1">
      <c r="A50" s="4" t="s">
        <v>136</v>
      </c>
      <c r="B50" s="4" t="s">
        <v>137</v>
      </c>
      <c r="C50" s="4" t="s">
        <v>39</v>
      </c>
      <c r="D50" s="5">
        <v>160.0</v>
      </c>
      <c r="E50" s="5">
        <v>39355.0</v>
      </c>
      <c r="F50" s="6">
        <f t="shared" si="1"/>
        <v>245.96875</v>
      </c>
      <c r="G50" s="5">
        <v>89.0</v>
      </c>
      <c r="H50" s="6">
        <f t="shared" si="2"/>
        <v>226.1466142</v>
      </c>
      <c r="I50" s="7" t="str">
        <f t="shared" si="3"/>
        <v/>
      </c>
      <c r="J50" s="6">
        <v>109.4</v>
      </c>
      <c r="K50" s="7" t="str">
        <f t="shared" si="4"/>
        <v/>
      </c>
      <c r="L50" s="6">
        <v>109.3</v>
      </c>
      <c r="M50" s="5">
        <v>18.0</v>
      </c>
      <c r="N50" s="6">
        <v>44.8</v>
      </c>
      <c r="O50" s="8">
        <v>44200.0</v>
      </c>
      <c r="P50" s="7">
        <f t="shared" si="5"/>
        <v>27</v>
      </c>
      <c r="Q50" s="6"/>
      <c r="R50" s="6"/>
      <c r="S50" s="8"/>
      <c r="T50" s="8"/>
      <c r="U50" s="6"/>
      <c r="V50" s="5"/>
    </row>
    <row r="51" ht="15.75" customHeight="1">
      <c r="A51" s="4" t="s">
        <v>138</v>
      </c>
      <c r="B51" s="4" t="s">
        <v>139</v>
      </c>
      <c r="C51" s="4" t="s">
        <v>36</v>
      </c>
      <c r="D51" s="5">
        <v>175016.0</v>
      </c>
      <c r="E51" s="5">
        <v>3422796.0</v>
      </c>
      <c r="F51" s="6">
        <f t="shared" si="1"/>
        <v>19.55704621</v>
      </c>
      <c r="G51" s="5">
        <v>7682.0</v>
      </c>
      <c r="H51" s="6">
        <f t="shared" si="2"/>
        <v>224.4363964</v>
      </c>
      <c r="I51" s="7">
        <f t="shared" si="3"/>
        <v>39</v>
      </c>
      <c r="J51" s="6">
        <v>109.7</v>
      </c>
      <c r="K51" s="7">
        <f t="shared" si="4"/>
        <v>99</v>
      </c>
      <c r="L51" s="6">
        <v>224.0</v>
      </c>
      <c r="M51" s="5">
        <v>8865.0</v>
      </c>
      <c r="N51" s="6">
        <v>259.0</v>
      </c>
      <c r="O51" s="8">
        <v>44254.0</v>
      </c>
      <c r="P51" s="7">
        <f t="shared" si="5"/>
        <v>81</v>
      </c>
      <c r="Q51" s="6">
        <v>49.16</v>
      </c>
      <c r="R51" s="6">
        <v>78.43</v>
      </c>
      <c r="S51" s="8">
        <v>44378.0</v>
      </c>
      <c r="T51" s="8">
        <v>44420.0</v>
      </c>
      <c r="U51" s="6">
        <v>35.6</v>
      </c>
      <c r="V51" s="5">
        <v>20551.409</v>
      </c>
    </row>
    <row r="52" ht="15.75" customHeight="1">
      <c r="A52" s="4" t="s">
        <v>140</v>
      </c>
      <c r="B52" s="4" t="s">
        <v>141</v>
      </c>
      <c r="C52" s="4" t="s">
        <v>126</v>
      </c>
      <c r="D52" s="5">
        <v>4000.0</v>
      </c>
      <c r="E52" s="5">
        <v>306292.0</v>
      </c>
      <c r="F52" s="6">
        <f t="shared" si="1"/>
        <v>76.573</v>
      </c>
      <c r="G52" s="5">
        <v>650.0</v>
      </c>
      <c r="H52" s="6">
        <f t="shared" si="2"/>
        <v>212.2157941</v>
      </c>
      <c r="I52" s="7" t="str">
        <f t="shared" si="3"/>
        <v/>
      </c>
      <c r="J52" s="6">
        <v>206.4</v>
      </c>
      <c r="K52" s="7" t="str">
        <f t="shared" si="4"/>
        <v/>
      </c>
      <c r="L52" s="6">
        <v>229.5</v>
      </c>
      <c r="M52" s="5">
        <v>590.0</v>
      </c>
      <c r="N52" s="6">
        <v>192.6</v>
      </c>
      <c r="O52" s="8">
        <v>44229.0</v>
      </c>
      <c r="P52" s="7">
        <f t="shared" si="5"/>
        <v>56</v>
      </c>
      <c r="Q52" s="6">
        <v>20.01</v>
      </c>
      <c r="R52" s="6">
        <v>51.94</v>
      </c>
      <c r="S52" s="8">
        <v>44515.0</v>
      </c>
      <c r="T52" s="8"/>
      <c r="U52" s="6">
        <v>32.7</v>
      </c>
      <c r="V52" s="5"/>
    </row>
    <row r="53" ht="15.75" customHeight="1">
      <c r="A53" s="4" t="s">
        <v>142</v>
      </c>
      <c r="B53" s="4" t="s">
        <v>143</v>
      </c>
      <c r="C53" s="4" t="s">
        <v>71</v>
      </c>
      <c r="D53" s="5">
        <v>430.0</v>
      </c>
      <c r="E53" s="5">
        <v>281646.0</v>
      </c>
      <c r="F53" s="6">
        <f t="shared" si="1"/>
        <v>654.9906977</v>
      </c>
      <c r="G53" s="5">
        <v>593.0</v>
      </c>
      <c r="H53" s="6">
        <f t="shared" si="2"/>
        <v>210.5479929</v>
      </c>
      <c r="I53" s="7" t="str">
        <f t="shared" si="3"/>
        <v/>
      </c>
      <c r="J53" s="6">
        <v>9.3</v>
      </c>
      <c r="K53" s="7" t="str">
        <f t="shared" si="4"/>
        <v/>
      </c>
      <c r="L53" s="6">
        <v>169.2</v>
      </c>
      <c r="M53" s="5">
        <v>964.0</v>
      </c>
      <c r="N53" s="6">
        <v>342.4</v>
      </c>
      <c r="O53" s="8">
        <v>44242.0</v>
      </c>
      <c r="P53" s="7">
        <f t="shared" si="5"/>
        <v>69</v>
      </c>
      <c r="Q53" s="6">
        <v>25.27</v>
      </c>
      <c r="R53" s="6">
        <v>51.01</v>
      </c>
      <c r="S53" s="8">
        <v>44545.0</v>
      </c>
      <c r="T53" s="8"/>
      <c r="U53" s="6">
        <v>39.8</v>
      </c>
      <c r="V53" s="5">
        <v>16978.068</v>
      </c>
    </row>
    <row r="54" ht="15.75" customHeight="1">
      <c r="A54" s="4" t="s">
        <v>144</v>
      </c>
      <c r="B54" s="4" t="s">
        <v>145</v>
      </c>
      <c r="C54" s="4" t="s">
        <v>39</v>
      </c>
      <c r="D54" s="5">
        <v>357022.0</v>
      </c>
      <c r="E54" s="5">
        <v>8.336984E7</v>
      </c>
      <c r="F54" s="6">
        <f t="shared" si="1"/>
        <v>233.5145733</v>
      </c>
      <c r="G54" s="5">
        <v>174979.0</v>
      </c>
      <c r="H54" s="6">
        <f t="shared" si="2"/>
        <v>209.8828545</v>
      </c>
      <c r="I54" s="7">
        <f t="shared" si="3"/>
        <v>40</v>
      </c>
      <c r="J54" s="6">
        <v>138.0</v>
      </c>
      <c r="K54" s="7">
        <f t="shared" si="4"/>
        <v>84</v>
      </c>
      <c r="L54" s="6">
        <v>272.6</v>
      </c>
      <c r="M54" s="5">
        <v>295120.0</v>
      </c>
      <c r="N54" s="6">
        <v>354.0</v>
      </c>
      <c r="O54" s="8">
        <v>44192.0</v>
      </c>
      <c r="P54" s="7">
        <f t="shared" si="5"/>
        <v>19</v>
      </c>
      <c r="Q54" s="6">
        <v>37.56</v>
      </c>
      <c r="R54" s="6">
        <v>70.96</v>
      </c>
      <c r="S54" s="8">
        <v>44403.0</v>
      </c>
      <c r="T54" s="8">
        <v>44548.0</v>
      </c>
      <c r="U54" s="6">
        <v>46.6</v>
      </c>
      <c r="V54" s="5">
        <v>45229.245</v>
      </c>
    </row>
    <row r="55" ht="15.75" customHeight="1">
      <c r="A55" s="4" t="s">
        <v>146</v>
      </c>
      <c r="B55" s="4" t="s">
        <v>147</v>
      </c>
      <c r="C55" s="4" t="s">
        <v>71</v>
      </c>
      <c r="D55" s="5">
        <v>34.0</v>
      </c>
      <c r="E55" s="5">
        <v>44192.0</v>
      </c>
      <c r="F55" s="6">
        <f t="shared" si="1"/>
        <v>1299.764706</v>
      </c>
      <c r="G55" s="5">
        <v>92.0</v>
      </c>
      <c r="H55" s="6">
        <f t="shared" si="2"/>
        <v>208.1824765</v>
      </c>
      <c r="I55" s="7" t="str">
        <f t="shared" si="3"/>
        <v/>
      </c>
      <c r="J55" s="6">
        <v>325.5</v>
      </c>
      <c r="K55" s="7" t="str">
        <f t="shared" si="4"/>
        <v/>
      </c>
      <c r="L55" s="6">
        <v>406.8</v>
      </c>
      <c r="M55" s="5">
        <v>194.0</v>
      </c>
      <c r="N55" s="6">
        <v>439.9</v>
      </c>
      <c r="O55" s="8">
        <v>44323.0</v>
      </c>
      <c r="P55" s="7">
        <f t="shared" si="5"/>
        <v>150</v>
      </c>
      <c r="Q55" s="6">
        <v>38.83</v>
      </c>
      <c r="R55" s="6">
        <v>56.94</v>
      </c>
      <c r="S55" s="8">
        <v>44421.0</v>
      </c>
      <c r="T55" s="8"/>
      <c r="U55" s="6"/>
      <c r="V55" s="5">
        <v>36327.232</v>
      </c>
    </row>
    <row r="56" ht="15.75" customHeight="1">
      <c r="A56" s="4" t="s">
        <v>148</v>
      </c>
      <c r="B56" s="4" t="s">
        <v>149</v>
      </c>
      <c r="C56" s="4" t="s">
        <v>71</v>
      </c>
      <c r="D56" s="5">
        <v>13878.0</v>
      </c>
      <c r="E56" s="5">
        <v>409989.0</v>
      </c>
      <c r="F56" s="6">
        <f t="shared" si="1"/>
        <v>29.54236922</v>
      </c>
      <c r="G56" s="5">
        <v>849.0</v>
      </c>
      <c r="H56" s="6">
        <f t="shared" si="2"/>
        <v>207.0787265</v>
      </c>
      <c r="I56" s="7" t="str">
        <f t="shared" si="3"/>
        <v/>
      </c>
      <c r="J56" s="6">
        <v>268.5</v>
      </c>
      <c r="K56" s="7" t="str">
        <f t="shared" si="4"/>
        <v/>
      </c>
      <c r="L56" s="6">
        <v>342.7</v>
      </c>
      <c r="M56" s="5">
        <v>1683.0</v>
      </c>
      <c r="N56" s="6">
        <v>410.4</v>
      </c>
      <c r="O56" s="8">
        <v>44269.0</v>
      </c>
      <c r="P56" s="7">
        <f t="shared" si="5"/>
        <v>96</v>
      </c>
      <c r="Q56" s="6">
        <v>8.04</v>
      </c>
      <c r="R56" s="6">
        <v>35.94</v>
      </c>
      <c r="S56" s="8"/>
      <c r="T56" s="8"/>
      <c r="U56" s="6">
        <v>34.3</v>
      </c>
      <c r="V56" s="5">
        <v>27717.847</v>
      </c>
    </row>
    <row r="57" ht="15.75" customHeight="1">
      <c r="A57" s="4" t="s">
        <v>150</v>
      </c>
      <c r="B57" s="4" t="s">
        <v>151</v>
      </c>
      <c r="C57" s="4" t="s">
        <v>39</v>
      </c>
      <c r="D57" s="5">
        <v>338145.0</v>
      </c>
      <c r="E57" s="5">
        <v>5540745.0</v>
      </c>
      <c r="F57" s="6">
        <f t="shared" si="1"/>
        <v>16.38570731</v>
      </c>
      <c r="G57" s="5">
        <v>11466.0</v>
      </c>
      <c r="H57" s="6">
        <f t="shared" si="2"/>
        <v>206.9396805</v>
      </c>
      <c r="I57" s="7">
        <f t="shared" si="3"/>
        <v>41</v>
      </c>
      <c r="J57" s="6">
        <v>85.5</v>
      </c>
      <c r="K57" s="7">
        <f t="shared" si="4"/>
        <v>120</v>
      </c>
      <c r="L57" s="6">
        <v>240.4</v>
      </c>
      <c r="M57" s="5">
        <v>20185.0</v>
      </c>
      <c r="N57" s="6">
        <v>364.3</v>
      </c>
      <c r="O57" s="8">
        <v>44199.0</v>
      </c>
      <c r="P57" s="7">
        <f t="shared" si="5"/>
        <v>26</v>
      </c>
      <c r="Q57" s="6">
        <v>17.83</v>
      </c>
      <c r="R57" s="6">
        <v>73.73</v>
      </c>
      <c r="S57" s="8">
        <v>44437.0</v>
      </c>
      <c r="T57" s="8">
        <v>44500.0</v>
      </c>
      <c r="U57" s="6">
        <v>42.8</v>
      </c>
      <c r="V57" s="5">
        <v>40585.721</v>
      </c>
    </row>
    <row r="58" ht="15.75" customHeight="1">
      <c r="A58" s="4" t="s">
        <v>152</v>
      </c>
      <c r="B58" s="4" t="s">
        <v>153</v>
      </c>
      <c r="C58" s="4" t="s">
        <v>71</v>
      </c>
      <c r="D58" s="5">
        <v>151.0</v>
      </c>
      <c r="E58" s="5">
        <v>31332.0</v>
      </c>
      <c r="F58" s="6">
        <f t="shared" si="1"/>
        <v>207.4966887</v>
      </c>
      <c r="G58" s="5">
        <v>64.0</v>
      </c>
      <c r="H58" s="6">
        <f t="shared" si="2"/>
        <v>204.2640112</v>
      </c>
      <c r="I58" s="7" t="str">
        <f t="shared" si="3"/>
        <v/>
      </c>
      <c r="J58" s="6">
        <v>162.8</v>
      </c>
      <c r="K58" s="7" t="str">
        <f t="shared" si="4"/>
        <v/>
      </c>
      <c r="L58" s="6">
        <v>279.9</v>
      </c>
      <c r="M58" s="5">
        <v>83.0</v>
      </c>
      <c r="N58" s="6">
        <v>264.1</v>
      </c>
      <c r="O58" s="8">
        <v>44337.0</v>
      </c>
      <c r="P58" s="7">
        <f t="shared" si="5"/>
        <v>164</v>
      </c>
      <c r="Q58" s="6">
        <v>28.22</v>
      </c>
      <c r="R58" s="6">
        <v>54.27</v>
      </c>
      <c r="S58" s="8">
        <v>44491.0</v>
      </c>
      <c r="T58" s="8"/>
      <c r="U58" s="6"/>
      <c r="V58" s="5"/>
    </row>
    <row r="59" ht="15.75" customHeight="1">
      <c r="A59" s="4" t="s">
        <v>154</v>
      </c>
      <c r="B59" s="4" t="s">
        <v>155</v>
      </c>
      <c r="C59" s="4" t="s">
        <v>36</v>
      </c>
      <c r="D59" s="5">
        <v>283561.0</v>
      </c>
      <c r="E59" s="5">
        <v>1.8001002E7</v>
      </c>
      <c r="F59" s="6">
        <f t="shared" si="1"/>
        <v>63.48193863</v>
      </c>
      <c r="G59" s="5">
        <v>36050.0</v>
      </c>
      <c r="H59" s="6">
        <f t="shared" si="2"/>
        <v>200.2666296</v>
      </c>
      <c r="I59" s="7">
        <f t="shared" si="3"/>
        <v>42</v>
      </c>
      <c r="J59" s="6">
        <v>392.2</v>
      </c>
      <c r="K59" s="7">
        <f t="shared" si="4"/>
        <v>26</v>
      </c>
      <c r="L59" s="6">
        <v>454.7</v>
      </c>
      <c r="M59" s="5">
        <v>90711.0</v>
      </c>
      <c r="N59" s="6">
        <v>503.9</v>
      </c>
      <c r="O59" s="8">
        <v>44216.0</v>
      </c>
      <c r="P59" s="7">
        <f t="shared" si="5"/>
        <v>43</v>
      </c>
      <c r="Q59" s="6">
        <v>8.07</v>
      </c>
      <c r="R59" s="6">
        <v>70.5</v>
      </c>
      <c r="S59" s="8">
        <v>44447.0</v>
      </c>
      <c r="T59" s="8">
        <v>44558.0</v>
      </c>
      <c r="U59" s="6">
        <v>28.1</v>
      </c>
      <c r="V59" s="5">
        <v>10581.936</v>
      </c>
    </row>
    <row r="60" ht="15.75" customHeight="1">
      <c r="A60" s="4" t="s">
        <v>156</v>
      </c>
      <c r="B60" s="4" t="s">
        <v>157</v>
      </c>
      <c r="C60" s="4" t="s">
        <v>52</v>
      </c>
      <c r="D60" s="5">
        <v>10400.0</v>
      </c>
      <c r="E60" s="5">
        <v>5489744.0</v>
      </c>
      <c r="F60" s="6">
        <f t="shared" si="1"/>
        <v>527.86</v>
      </c>
      <c r="G60" s="5">
        <v>10947.0</v>
      </c>
      <c r="H60" s="6">
        <f t="shared" si="2"/>
        <v>199.4082056</v>
      </c>
      <c r="I60" s="7">
        <f t="shared" si="3"/>
        <v>43</v>
      </c>
      <c r="J60" s="6">
        <v>217.2</v>
      </c>
      <c r="K60" s="7">
        <f t="shared" si="4"/>
        <v>55</v>
      </c>
      <c r="L60" s="6">
        <v>271.1</v>
      </c>
      <c r="M60" s="5">
        <v>15017.0</v>
      </c>
      <c r="N60" s="6">
        <v>273.5</v>
      </c>
      <c r="O60" s="8">
        <v>44241.0</v>
      </c>
      <c r="P60" s="7">
        <f t="shared" si="5"/>
        <v>68</v>
      </c>
      <c r="Q60" s="6">
        <v>8.01</v>
      </c>
      <c r="R60" s="6">
        <v>33.36</v>
      </c>
      <c r="S60" s="8"/>
      <c r="T60" s="8"/>
      <c r="U60" s="6">
        <v>31.1</v>
      </c>
      <c r="V60" s="5">
        <v>13367.565</v>
      </c>
    </row>
    <row r="61" ht="15.75" customHeight="1">
      <c r="A61" s="4" t="s">
        <v>158</v>
      </c>
      <c r="B61" s="4" t="s">
        <v>159</v>
      </c>
      <c r="C61" s="4" t="s">
        <v>39</v>
      </c>
      <c r="D61" s="5">
        <v>468.0</v>
      </c>
      <c r="E61" s="5">
        <v>79843.0</v>
      </c>
      <c r="F61" s="6">
        <f t="shared" si="1"/>
        <v>170.6047009</v>
      </c>
      <c r="G61" s="5">
        <v>159.0</v>
      </c>
      <c r="H61" s="6">
        <f t="shared" si="2"/>
        <v>199.1408138</v>
      </c>
      <c r="I61" s="7" t="str">
        <f t="shared" si="3"/>
        <v/>
      </c>
      <c r="J61" s="6">
        <v>140.8</v>
      </c>
      <c r="K61" s="7" t="str">
        <f t="shared" si="4"/>
        <v/>
      </c>
      <c r="L61" s="6">
        <v>197.5</v>
      </c>
      <c r="M61" s="5">
        <v>179.0</v>
      </c>
      <c r="N61" s="6">
        <v>223.8</v>
      </c>
      <c r="O61" s="8">
        <v>44221.0</v>
      </c>
      <c r="P61" s="7">
        <f t="shared" si="5"/>
        <v>48</v>
      </c>
      <c r="Q61" s="6">
        <v>33.33</v>
      </c>
      <c r="R61" s="6">
        <v>64.37</v>
      </c>
      <c r="S61" s="8">
        <v>44423.0</v>
      </c>
      <c r="T61" s="8"/>
      <c r="U61" s="6"/>
      <c r="V61" s="5"/>
    </row>
    <row r="62" ht="15.75" customHeight="1">
      <c r="A62" s="4" t="s">
        <v>160</v>
      </c>
      <c r="B62" s="4" t="s">
        <v>161</v>
      </c>
      <c r="C62" s="4" t="s">
        <v>71</v>
      </c>
      <c r="D62" s="5">
        <v>75517.0</v>
      </c>
      <c r="E62" s="5">
        <v>4408582.0</v>
      </c>
      <c r="F62" s="6">
        <f t="shared" si="1"/>
        <v>58.3786697</v>
      </c>
      <c r="G62" s="5">
        <v>8748.0</v>
      </c>
      <c r="H62" s="6">
        <f t="shared" si="2"/>
        <v>198.4311509</v>
      </c>
      <c r="I62" s="7">
        <f t="shared" si="3"/>
        <v>44</v>
      </c>
      <c r="J62" s="6">
        <v>165.0</v>
      </c>
      <c r="K62" s="7">
        <f t="shared" si="4"/>
        <v>73</v>
      </c>
      <c r="L62" s="6">
        <v>215.4</v>
      </c>
      <c r="M62" s="5">
        <v>11165.0</v>
      </c>
      <c r="N62" s="6">
        <v>253.2</v>
      </c>
      <c r="O62" s="8">
        <v>44216.0</v>
      </c>
      <c r="P62" s="7">
        <f t="shared" si="5"/>
        <v>43</v>
      </c>
      <c r="Q62" s="6">
        <v>11.6</v>
      </c>
      <c r="R62" s="6">
        <v>63.61</v>
      </c>
      <c r="S62" s="8">
        <v>44458.0</v>
      </c>
      <c r="T62" s="8">
        <v>44694.0</v>
      </c>
      <c r="U62" s="6">
        <v>29.7</v>
      </c>
      <c r="V62" s="5">
        <v>22267.037</v>
      </c>
    </row>
    <row r="63" ht="15.75" customHeight="1">
      <c r="A63" s="4" t="s">
        <v>162</v>
      </c>
      <c r="B63" s="4" t="s">
        <v>163</v>
      </c>
      <c r="C63" s="4" t="s">
        <v>39</v>
      </c>
      <c r="D63" s="5">
        <v>70273.0</v>
      </c>
      <c r="E63" s="5">
        <v>5023108.0</v>
      </c>
      <c r="F63" s="6">
        <f t="shared" si="1"/>
        <v>71.47991405</v>
      </c>
      <c r="G63" s="5">
        <v>9744.0</v>
      </c>
      <c r="H63" s="6">
        <f t="shared" si="2"/>
        <v>193.9834859</v>
      </c>
      <c r="I63" s="7">
        <f t="shared" si="3"/>
        <v>45</v>
      </c>
      <c r="J63" s="6">
        <v>96.0</v>
      </c>
      <c r="K63" s="7">
        <f t="shared" si="4"/>
        <v>112</v>
      </c>
      <c r="L63" s="6">
        <v>165.3</v>
      </c>
      <c r="M63" s="5">
        <v>12404.0</v>
      </c>
      <c r="N63" s="6">
        <v>246.9</v>
      </c>
      <c r="O63" s="8">
        <v>44336.0</v>
      </c>
      <c r="P63" s="7">
        <f t="shared" si="5"/>
        <v>163</v>
      </c>
      <c r="Q63" s="6">
        <v>37.63</v>
      </c>
      <c r="R63" s="6">
        <v>77.33</v>
      </c>
      <c r="S63" s="8">
        <v>44393.0</v>
      </c>
      <c r="T63" s="8">
        <v>44445.0</v>
      </c>
      <c r="U63" s="6">
        <v>38.7</v>
      </c>
      <c r="V63" s="5">
        <v>67335.293</v>
      </c>
    </row>
    <row r="64" ht="15.75" customHeight="1">
      <c r="A64" s="4" t="s">
        <v>164</v>
      </c>
      <c r="B64" s="4" t="s">
        <v>165</v>
      </c>
      <c r="C64" s="4" t="s">
        <v>71</v>
      </c>
      <c r="D64" s="5">
        <v>344.0</v>
      </c>
      <c r="E64" s="5">
        <v>125459.0</v>
      </c>
      <c r="F64" s="6">
        <f t="shared" si="1"/>
        <v>364.7063953</v>
      </c>
      <c r="G64" s="5">
        <v>238.0</v>
      </c>
      <c r="H64" s="6">
        <f t="shared" si="2"/>
        <v>189.7034091</v>
      </c>
      <c r="I64" s="7" t="str">
        <f t="shared" si="3"/>
        <v/>
      </c>
      <c r="J64" s="6">
        <v>43.0</v>
      </c>
      <c r="K64" s="7" t="str">
        <f t="shared" si="4"/>
        <v/>
      </c>
      <c r="L64" s="6">
        <v>120.2</v>
      </c>
      <c r="M64" s="5">
        <v>187.0</v>
      </c>
      <c r="N64" s="6">
        <v>148.7</v>
      </c>
      <c r="O64" s="8">
        <v>44239.0</v>
      </c>
      <c r="P64" s="7">
        <f t="shared" si="5"/>
        <v>66</v>
      </c>
      <c r="Q64" s="6">
        <v>9.54</v>
      </c>
      <c r="R64" s="6">
        <v>28.26</v>
      </c>
      <c r="S64" s="8"/>
      <c r="T64" s="8"/>
      <c r="U64" s="6">
        <v>29.4</v>
      </c>
      <c r="V64" s="5">
        <v>13593.877</v>
      </c>
    </row>
    <row r="65" ht="15.75" customHeight="1">
      <c r="A65" s="4" t="s">
        <v>166</v>
      </c>
      <c r="B65" s="4" t="s">
        <v>167</v>
      </c>
      <c r="C65" s="4" t="s">
        <v>39</v>
      </c>
      <c r="D65" s="5">
        <v>1.5</v>
      </c>
      <c r="E65" s="5">
        <v>36491.0</v>
      </c>
      <c r="F65" s="6">
        <f t="shared" si="1"/>
        <v>24327.33333</v>
      </c>
      <c r="G65" s="5">
        <v>67.0</v>
      </c>
      <c r="H65" s="6">
        <f t="shared" si="2"/>
        <v>183.6069168</v>
      </c>
      <c r="I65" s="7" t="str">
        <f t="shared" si="3"/>
        <v/>
      </c>
      <c r="J65" s="6">
        <v>520.7</v>
      </c>
      <c r="K65" s="7" t="str">
        <f t="shared" si="4"/>
        <v/>
      </c>
      <c r="L65" s="6">
        <v>721.3</v>
      </c>
      <c r="M65" s="5">
        <v>288.0</v>
      </c>
      <c r="N65" s="6">
        <v>789.8</v>
      </c>
      <c r="O65" s="8">
        <v>44196.0</v>
      </c>
      <c r="P65" s="7">
        <f t="shared" si="5"/>
        <v>23</v>
      </c>
      <c r="Q65" s="6">
        <v>45.95</v>
      </c>
      <c r="R65" s="6">
        <v>70.34</v>
      </c>
      <c r="S65" s="8">
        <v>44392.0</v>
      </c>
      <c r="T65" s="8">
        <v>44551.0</v>
      </c>
      <c r="U65" s="6"/>
      <c r="V65" s="5"/>
    </row>
    <row r="66" ht="15.75" customHeight="1">
      <c r="A66" s="4" t="s">
        <v>168</v>
      </c>
      <c r="B66" s="4" t="s">
        <v>169</v>
      </c>
      <c r="C66" s="4" t="s">
        <v>36</v>
      </c>
      <c r="D66" s="5">
        <v>1098581.0</v>
      </c>
      <c r="E66" s="5">
        <v>1.2224114E7</v>
      </c>
      <c r="F66" s="6">
        <f t="shared" si="1"/>
        <v>11.12718498</v>
      </c>
      <c r="G66" s="5">
        <v>22387.0</v>
      </c>
      <c r="H66" s="6">
        <f t="shared" si="2"/>
        <v>183.1380172</v>
      </c>
      <c r="I66" s="7">
        <f t="shared" si="3"/>
        <v>46</v>
      </c>
      <c r="J66" s="6">
        <v>458.6</v>
      </c>
      <c r="K66" s="7">
        <f t="shared" si="4"/>
        <v>18</v>
      </c>
      <c r="L66" s="6">
        <v>540.2</v>
      </c>
      <c r="M66" s="5">
        <v>66836.0</v>
      </c>
      <c r="N66" s="6">
        <v>546.8</v>
      </c>
      <c r="O66" s="8">
        <v>44229.0</v>
      </c>
      <c r="P66" s="7">
        <f t="shared" si="5"/>
        <v>56</v>
      </c>
      <c r="Q66" s="6">
        <v>5.77</v>
      </c>
      <c r="R66" s="6">
        <v>37.58</v>
      </c>
      <c r="S66" s="8">
        <v>44795.0</v>
      </c>
      <c r="T66" s="8"/>
      <c r="U66" s="6">
        <v>25.4</v>
      </c>
      <c r="V66" s="5">
        <v>6885.829</v>
      </c>
    </row>
    <row r="67" ht="15.75" customHeight="1">
      <c r="A67" s="4" t="s">
        <v>170</v>
      </c>
      <c r="B67" s="4" t="s">
        <v>171</v>
      </c>
      <c r="C67" s="4" t="s">
        <v>71</v>
      </c>
      <c r="D67" s="5">
        <v>8875.0</v>
      </c>
      <c r="E67" s="5">
        <v>3252412.0</v>
      </c>
      <c r="F67" s="6">
        <f t="shared" si="1"/>
        <v>366.4689577</v>
      </c>
      <c r="G67" s="5">
        <v>5938.0</v>
      </c>
      <c r="H67" s="6">
        <f t="shared" si="2"/>
        <v>182.5721957</v>
      </c>
      <c r="I67" s="7">
        <f t="shared" si="3"/>
        <v>47</v>
      </c>
      <c r="J67" s="6">
        <v>330.1</v>
      </c>
      <c r="K67" s="7">
        <f t="shared" si="4"/>
        <v>27</v>
      </c>
      <c r="L67" s="6">
        <v>530.5</v>
      </c>
      <c r="M67" s="5">
        <v>22210.0</v>
      </c>
      <c r="N67" s="6">
        <v>682.9</v>
      </c>
      <c r="O67" s="8"/>
      <c r="P67" s="7" t="str">
        <f t="shared" si="5"/>
        <v/>
      </c>
      <c r="Q67" s="6"/>
      <c r="R67" s="6"/>
      <c r="S67" s="8"/>
      <c r="T67" s="8"/>
      <c r="U67" s="6">
        <v>38.2</v>
      </c>
      <c r="V67" s="5">
        <v>35044.67</v>
      </c>
    </row>
    <row r="68" ht="15.75" customHeight="1">
      <c r="A68" s="4" t="s">
        <v>172</v>
      </c>
      <c r="B68" s="4" t="s">
        <v>173</v>
      </c>
      <c r="C68" s="4" t="s">
        <v>71</v>
      </c>
      <c r="D68" s="5">
        <v>102.0</v>
      </c>
      <c r="E68" s="5">
        <v>4413.0</v>
      </c>
      <c r="F68" s="6">
        <f t="shared" si="1"/>
        <v>43.26470588</v>
      </c>
      <c r="G68" s="5">
        <v>8.0</v>
      </c>
      <c r="H68" s="6">
        <f t="shared" si="2"/>
        <v>181.2825742</v>
      </c>
      <c r="I68" s="7" t="str">
        <f t="shared" si="3"/>
        <v/>
      </c>
      <c r="J68" s="6">
        <v>19.2</v>
      </c>
      <c r="K68" s="7" t="str">
        <f t="shared" si="4"/>
        <v/>
      </c>
      <c r="L68" s="6">
        <v>135.4</v>
      </c>
      <c r="M68" s="5">
        <v>4.0</v>
      </c>
      <c r="N68" s="6">
        <v>85.1</v>
      </c>
      <c r="O68" s="8">
        <v>44236.0</v>
      </c>
      <c r="P68" s="7">
        <f t="shared" si="5"/>
        <v>63</v>
      </c>
      <c r="Q68" s="6">
        <v>27.85</v>
      </c>
      <c r="R68" s="6">
        <v>33.36</v>
      </c>
      <c r="S68" s="8"/>
      <c r="T68" s="8"/>
      <c r="U68" s="6"/>
      <c r="V68" s="5"/>
    </row>
    <row r="69" ht="15.75" customHeight="1">
      <c r="A69" s="4" t="s">
        <v>174</v>
      </c>
      <c r="B69" s="4" t="s">
        <v>175</v>
      </c>
      <c r="C69" s="4" t="s">
        <v>71</v>
      </c>
      <c r="D69" s="5">
        <v>51100.0</v>
      </c>
      <c r="E69" s="5">
        <v>5180836.0</v>
      </c>
      <c r="F69" s="6">
        <f t="shared" si="1"/>
        <v>101.3862231</v>
      </c>
      <c r="G69" s="5">
        <v>9372.0</v>
      </c>
      <c r="H69" s="6">
        <f t="shared" si="2"/>
        <v>180.8974459</v>
      </c>
      <c r="I69" s="7">
        <f t="shared" si="3"/>
        <v>48</v>
      </c>
      <c r="J69" s="6">
        <v>113.9</v>
      </c>
      <c r="K69" s="7">
        <f t="shared" si="4"/>
        <v>96</v>
      </c>
      <c r="L69" s="6">
        <v>155.4</v>
      </c>
      <c r="M69" s="5">
        <v>10470.0</v>
      </c>
      <c r="N69" s="6">
        <v>202.1</v>
      </c>
      <c r="O69" s="8">
        <v>44189.0</v>
      </c>
      <c r="P69" s="7">
        <f t="shared" si="5"/>
        <v>16</v>
      </c>
      <c r="Q69" s="6">
        <v>15.66</v>
      </c>
      <c r="R69" s="6">
        <v>67.66</v>
      </c>
      <c r="S69" s="8">
        <v>44501.0</v>
      </c>
      <c r="T69" s="8">
        <v>44578.0</v>
      </c>
      <c r="U69" s="6">
        <v>33.6</v>
      </c>
      <c r="V69" s="5">
        <v>15524.995</v>
      </c>
    </row>
    <row r="70" ht="15.75" customHeight="1">
      <c r="A70" s="4" t="s">
        <v>176</v>
      </c>
      <c r="B70" s="4" t="s">
        <v>177</v>
      </c>
      <c r="C70" s="4" t="s">
        <v>39</v>
      </c>
      <c r="D70" s="5">
        <v>316.0</v>
      </c>
      <c r="E70" s="5">
        <v>533293.0</v>
      </c>
      <c r="F70" s="6">
        <f t="shared" si="1"/>
        <v>1687.636076</v>
      </c>
      <c r="G70" s="5">
        <v>922.0</v>
      </c>
      <c r="H70" s="6">
        <f t="shared" si="2"/>
        <v>172.8880747</v>
      </c>
      <c r="I70" s="7" t="str">
        <f t="shared" si="3"/>
        <v/>
      </c>
      <c r="J70" s="6">
        <v>125.1</v>
      </c>
      <c r="K70" s="7" t="str">
        <f t="shared" si="4"/>
        <v/>
      </c>
      <c r="L70" s="6">
        <v>184.0</v>
      </c>
      <c r="M70" s="5">
        <v>1075.0</v>
      </c>
      <c r="N70" s="6">
        <v>201.5</v>
      </c>
      <c r="O70" s="8">
        <v>44213.0</v>
      </c>
      <c r="P70" s="7">
        <f t="shared" si="5"/>
        <v>40</v>
      </c>
      <c r="Q70" s="6">
        <v>61.11</v>
      </c>
      <c r="R70" s="6">
        <v>81.73</v>
      </c>
      <c r="S70" s="8">
        <v>44362.0</v>
      </c>
      <c r="T70" s="8">
        <v>44404.0</v>
      </c>
      <c r="U70" s="6">
        <v>42.4</v>
      </c>
      <c r="V70" s="5">
        <v>36513.323</v>
      </c>
    </row>
    <row r="71" ht="15.75" customHeight="1">
      <c r="A71" s="4" t="s">
        <v>178</v>
      </c>
      <c r="B71" s="4" t="s">
        <v>179</v>
      </c>
      <c r="C71" s="4" t="s">
        <v>129</v>
      </c>
      <c r="D71" s="5">
        <v>1221037.0</v>
      </c>
      <c r="E71" s="5">
        <v>5.9893884E7</v>
      </c>
      <c r="F71" s="6">
        <f t="shared" si="1"/>
        <v>49.05165364</v>
      </c>
      <c r="G71" s="5">
        <v>102595.0</v>
      </c>
      <c r="H71" s="6">
        <f t="shared" si="2"/>
        <v>171.2946183</v>
      </c>
      <c r="I71" s="7">
        <f t="shared" si="3"/>
        <v>49</v>
      </c>
      <c r="J71" s="6">
        <v>397.9</v>
      </c>
      <c r="K71" s="7">
        <f t="shared" si="4"/>
        <v>25</v>
      </c>
      <c r="L71" s="6">
        <v>456.1</v>
      </c>
      <c r="M71" s="5">
        <v>306313.0</v>
      </c>
      <c r="N71" s="6">
        <v>511.4</v>
      </c>
      <c r="O71" s="8">
        <v>44244.0</v>
      </c>
      <c r="P71" s="7">
        <f t="shared" si="5"/>
        <v>71</v>
      </c>
      <c r="Q71" s="6">
        <v>0.8</v>
      </c>
      <c r="R71" s="6">
        <v>26.44</v>
      </c>
      <c r="S71" s="8"/>
      <c r="T71" s="8"/>
      <c r="U71" s="6">
        <v>27.3</v>
      </c>
      <c r="V71" s="5">
        <v>12294.876</v>
      </c>
    </row>
    <row r="72" ht="15.75" customHeight="1">
      <c r="A72" s="4" t="s">
        <v>180</v>
      </c>
      <c r="B72" s="4" t="s">
        <v>181</v>
      </c>
      <c r="C72" s="4" t="s">
        <v>71</v>
      </c>
      <c r="D72" s="5">
        <v>22696.0</v>
      </c>
      <c r="E72" s="5">
        <v>405285.0</v>
      </c>
      <c r="F72" s="6">
        <f t="shared" si="1"/>
        <v>17.85711139</v>
      </c>
      <c r="G72" s="5">
        <v>688.0</v>
      </c>
      <c r="H72" s="6">
        <f t="shared" si="2"/>
        <v>169.7570845</v>
      </c>
      <c r="I72" s="7" t="str">
        <f t="shared" si="3"/>
        <v/>
      </c>
      <c r="J72" s="6">
        <v>135.9</v>
      </c>
      <c r="K72" s="7" t="str">
        <f t="shared" si="4"/>
        <v/>
      </c>
      <c r="L72" s="6">
        <v>183.3</v>
      </c>
      <c r="M72" s="5">
        <v>786.0</v>
      </c>
      <c r="N72" s="6">
        <v>194.0</v>
      </c>
      <c r="O72" s="8">
        <v>44256.0</v>
      </c>
      <c r="P72" s="7">
        <f t="shared" si="5"/>
        <v>83</v>
      </c>
      <c r="Q72" s="6">
        <v>6.42</v>
      </c>
      <c r="R72" s="6">
        <v>49.13</v>
      </c>
      <c r="S72" s="8">
        <v>44589.0</v>
      </c>
      <c r="T72" s="8"/>
      <c r="U72" s="6">
        <v>25.0</v>
      </c>
      <c r="V72" s="5">
        <v>7824.362</v>
      </c>
    </row>
    <row r="73" ht="15.75" customHeight="1">
      <c r="A73" s="4" t="s">
        <v>182</v>
      </c>
      <c r="B73" s="4" t="s">
        <v>183</v>
      </c>
      <c r="C73" s="4" t="s">
        <v>52</v>
      </c>
      <c r="D73" s="5">
        <v>1648195.0</v>
      </c>
      <c r="E73" s="5">
        <v>8.8550568E7</v>
      </c>
      <c r="F73" s="6">
        <f t="shared" si="1"/>
        <v>53.72578366</v>
      </c>
      <c r="G73" s="5">
        <v>146837.0</v>
      </c>
      <c r="H73" s="6">
        <f t="shared" si="2"/>
        <v>165.8227647</v>
      </c>
      <c r="I73" s="7">
        <f t="shared" si="3"/>
        <v>50</v>
      </c>
      <c r="J73" s="6">
        <v>292.2</v>
      </c>
      <c r="K73" s="7">
        <f t="shared" si="4"/>
        <v>36</v>
      </c>
      <c r="L73" s="6">
        <v>323.1</v>
      </c>
      <c r="M73" s="5">
        <v>301651.0</v>
      </c>
      <c r="N73" s="6">
        <v>340.7</v>
      </c>
      <c r="O73" s="8">
        <v>44236.0</v>
      </c>
      <c r="P73" s="7">
        <f t="shared" si="5"/>
        <v>63</v>
      </c>
      <c r="Q73" s="6">
        <v>1.85</v>
      </c>
      <c r="R73" s="6">
        <v>57.81</v>
      </c>
      <c r="S73" s="8">
        <v>44521.0</v>
      </c>
      <c r="T73" s="8"/>
      <c r="U73" s="6">
        <v>32.4</v>
      </c>
      <c r="V73" s="5">
        <v>19082.62</v>
      </c>
    </row>
    <row r="74" ht="15.75" customHeight="1">
      <c r="A74" s="4" t="s">
        <v>184</v>
      </c>
      <c r="B74" s="4" t="s">
        <v>185</v>
      </c>
      <c r="C74" s="4" t="s">
        <v>39</v>
      </c>
      <c r="D74" s="5">
        <v>43094.0</v>
      </c>
      <c r="E74" s="5">
        <v>5882259.0</v>
      </c>
      <c r="F74" s="6">
        <f t="shared" si="1"/>
        <v>136.4983292</v>
      </c>
      <c r="G74" s="5">
        <v>9693.0</v>
      </c>
      <c r="H74" s="6">
        <f t="shared" si="2"/>
        <v>164.7836316</v>
      </c>
      <c r="I74" s="7">
        <f t="shared" si="3"/>
        <v>51</v>
      </c>
      <c r="J74" s="6">
        <v>40.0</v>
      </c>
      <c r="K74" s="7">
        <f t="shared" si="4"/>
        <v>147</v>
      </c>
      <c r="L74" s="6">
        <v>109.9</v>
      </c>
      <c r="M74" s="5">
        <v>8790.0</v>
      </c>
      <c r="N74" s="6">
        <v>149.4</v>
      </c>
      <c r="O74" s="8">
        <v>44183.0</v>
      </c>
      <c r="P74" s="7">
        <f t="shared" si="5"/>
        <v>10</v>
      </c>
      <c r="Q74" s="6">
        <v>29.59</v>
      </c>
      <c r="R74" s="6">
        <v>76.63</v>
      </c>
      <c r="S74" s="8">
        <v>44407.0</v>
      </c>
      <c r="T74" s="8">
        <v>44442.0</v>
      </c>
      <c r="U74" s="6">
        <v>42.3</v>
      </c>
      <c r="V74" s="5">
        <v>46682.515</v>
      </c>
    </row>
    <row r="75" ht="15.75" customHeight="1">
      <c r="A75" s="4" t="s">
        <v>186</v>
      </c>
      <c r="B75" s="4" t="s">
        <v>187</v>
      </c>
      <c r="C75" s="4" t="s">
        <v>39</v>
      </c>
      <c r="D75" s="5">
        <v>41284.0</v>
      </c>
      <c r="E75" s="5">
        <v>8740471.0</v>
      </c>
      <c r="F75" s="6">
        <f t="shared" si="1"/>
        <v>211.715701</v>
      </c>
      <c r="G75" s="5">
        <v>14170.0</v>
      </c>
      <c r="H75" s="6">
        <f t="shared" si="2"/>
        <v>162.1194098</v>
      </c>
      <c r="I75" s="7">
        <f t="shared" si="3"/>
        <v>52</v>
      </c>
      <c r="J75" s="6">
        <v>158.4</v>
      </c>
      <c r="K75" s="7">
        <f t="shared" si="4"/>
        <v>76</v>
      </c>
      <c r="L75" s="6">
        <v>242.5</v>
      </c>
      <c r="M75" s="5">
        <v>26140.0</v>
      </c>
      <c r="N75" s="6">
        <v>299.1</v>
      </c>
      <c r="O75" s="8">
        <v>44186.0</v>
      </c>
      <c r="P75" s="7">
        <f t="shared" si="5"/>
        <v>13</v>
      </c>
      <c r="Q75" s="6"/>
      <c r="R75" s="6"/>
      <c r="S75" s="8"/>
      <c r="T75" s="8"/>
      <c r="U75" s="6">
        <v>43.1</v>
      </c>
      <c r="V75" s="5">
        <v>57410.166</v>
      </c>
    </row>
    <row r="76" ht="15.75" customHeight="1">
      <c r="A76" s="4" t="s">
        <v>188</v>
      </c>
      <c r="B76" s="4" t="s">
        <v>189</v>
      </c>
      <c r="C76" s="4" t="s">
        <v>39</v>
      </c>
      <c r="D76" s="5">
        <v>9251.0</v>
      </c>
      <c r="E76" s="5">
        <v>896007.0</v>
      </c>
      <c r="F76" s="6">
        <f t="shared" si="1"/>
        <v>96.85515079</v>
      </c>
      <c r="G76" s="5">
        <v>1451.0</v>
      </c>
      <c r="H76" s="6">
        <f t="shared" si="2"/>
        <v>161.9406991</v>
      </c>
      <c r="I76" s="7" t="str">
        <f t="shared" si="3"/>
        <v/>
      </c>
      <c r="J76" s="6">
        <v>136.6</v>
      </c>
      <c r="K76" s="7" t="str">
        <f t="shared" si="4"/>
        <v/>
      </c>
      <c r="L76" s="6">
        <v>227.1</v>
      </c>
      <c r="M76" s="5">
        <v>1936.0</v>
      </c>
      <c r="N76" s="6">
        <v>216.0</v>
      </c>
      <c r="O76" s="8">
        <v>44202.0</v>
      </c>
      <c r="P76" s="7">
        <f t="shared" si="5"/>
        <v>29</v>
      </c>
      <c r="Q76" s="6">
        <v>38.69</v>
      </c>
      <c r="R76" s="6">
        <v>67.84</v>
      </c>
      <c r="S76" s="8">
        <v>44406.0</v>
      </c>
      <c r="T76" s="8">
        <v>44592.0</v>
      </c>
      <c r="U76" s="6">
        <v>37.3</v>
      </c>
      <c r="V76" s="5">
        <v>32415.132</v>
      </c>
    </row>
    <row r="77" ht="15.75" customHeight="1">
      <c r="A77" s="4" t="s">
        <v>190</v>
      </c>
      <c r="B77" s="4" t="s">
        <v>191</v>
      </c>
      <c r="C77" s="4" t="s">
        <v>36</v>
      </c>
      <c r="D77" s="5">
        <v>214969.0</v>
      </c>
      <c r="E77" s="5">
        <v>808727.0</v>
      </c>
      <c r="F77" s="6">
        <f t="shared" si="1"/>
        <v>3.762063367</v>
      </c>
      <c r="G77" s="5">
        <v>1302.0</v>
      </c>
      <c r="H77" s="6">
        <f t="shared" si="2"/>
        <v>160.9937593</v>
      </c>
      <c r="I77" s="7" t="str">
        <f t="shared" si="3"/>
        <v/>
      </c>
      <c r="J77" s="6">
        <v>253.6</v>
      </c>
      <c r="K77" s="7" t="str">
        <f t="shared" si="4"/>
        <v/>
      </c>
      <c r="L77" s="6">
        <v>377.1</v>
      </c>
      <c r="M77" s="5">
        <v>3729.0</v>
      </c>
      <c r="N77" s="6">
        <v>461.1</v>
      </c>
      <c r="O77" s="8">
        <v>44239.0</v>
      </c>
      <c r="P77" s="7">
        <f t="shared" si="5"/>
        <v>66</v>
      </c>
      <c r="Q77" s="6">
        <v>13.45</v>
      </c>
      <c r="R77" s="6">
        <v>36.37</v>
      </c>
      <c r="S77" s="8"/>
      <c r="T77" s="8"/>
      <c r="U77" s="6">
        <v>26.3</v>
      </c>
      <c r="V77" s="5">
        <v>7435.047</v>
      </c>
    </row>
    <row r="78" ht="15.75" customHeight="1">
      <c r="A78" s="4" t="s">
        <v>192</v>
      </c>
      <c r="B78" s="4" t="s">
        <v>193</v>
      </c>
      <c r="C78" s="4" t="s">
        <v>129</v>
      </c>
      <c r="D78" s="5">
        <v>455.0</v>
      </c>
      <c r="E78" s="5">
        <v>107135.0</v>
      </c>
      <c r="F78" s="6">
        <f t="shared" si="1"/>
        <v>235.4615385</v>
      </c>
      <c r="G78" s="5">
        <v>172.0</v>
      </c>
      <c r="H78" s="6">
        <f t="shared" si="2"/>
        <v>160.5451066</v>
      </c>
      <c r="I78" s="7" t="str">
        <f t="shared" si="3"/>
        <v/>
      </c>
      <c r="J78" s="6">
        <v>-89.7</v>
      </c>
      <c r="K78" s="7" t="str">
        <f t="shared" si="4"/>
        <v/>
      </c>
      <c r="L78" s="6">
        <v>-25.4</v>
      </c>
      <c r="M78" s="5">
        <v>-39.0</v>
      </c>
      <c r="N78" s="6">
        <v>-36.2</v>
      </c>
      <c r="O78" s="8">
        <v>44206.0</v>
      </c>
      <c r="P78" s="7">
        <f t="shared" si="5"/>
        <v>33</v>
      </c>
      <c r="Q78" s="6">
        <v>63.16</v>
      </c>
      <c r="R78" s="6">
        <v>73.05</v>
      </c>
      <c r="S78" s="8">
        <v>44309.0</v>
      </c>
      <c r="T78" s="8">
        <v>44494.0</v>
      </c>
      <c r="U78" s="6">
        <v>36.2</v>
      </c>
      <c r="V78" s="5">
        <v>26382.287</v>
      </c>
    </row>
    <row r="79" ht="15.75" customHeight="1">
      <c r="A79" s="4" t="s">
        <v>194</v>
      </c>
      <c r="B79" s="4" t="s">
        <v>195</v>
      </c>
      <c r="C79" s="4" t="s">
        <v>129</v>
      </c>
      <c r="D79" s="5">
        <v>824292.0</v>
      </c>
      <c r="E79" s="5">
        <v>2567024.0</v>
      </c>
      <c r="F79" s="6">
        <f t="shared" si="1"/>
        <v>3.114216807</v>
      </c>
      <c r="G79" s="5">
        <v>4108.0</v>
      </c>
      <c r="H79" s="6">
        <f t="shared" si="2"/>
        <v>160.0296686</v>
      </c>
      <c r="I79" s="7">
        <f t="shared" si="3"/>
        <v>53</v>
      </c>
      <c r="J79" s="6">
        <v>106.1</v>
      </c>
      <c r="K79" s="7">
        <f t="shared" si="4"/>
        <v>102</v>
      </c>
      <c r="L79" s="6">
        <v>138.9</v>
      </c>
      <c r="M79" s="5">
        <v>3820.0</v>
      </c>
      <c r="N79" s="6">
        <v>148.8</v>
      </c>
      <c r="O79" s="8">
        <v>44274.0</v>
      </c>
      <c r="P79" s="7">
        <f t="shared" si="5"/>
        <v>101</v>
      </c>
      <c r="Q79" s="6">
        <v>0.97</v>
      </c>
      <c r="R79" s="6">
        <v>11.05</v>
      </c>
      <c r="S79" s="8"/>
      <c r="T79" s="8"/>
      <c r="U79" s="6">
        <v>22.0</v>
      </c>
      <c r="V79" s="5">
        <v>9541.808</v>
      </c>
    </row>
    <row r="80" ht="15.75" customHeight="1">
      <c r="A80" s="4" t="s">
        <v>196</v>
      </c>
      <c r="B80" s="4" t="s">
        <v>197</v>
      </c>
      <c r="C80" s="4" t="s">
        <v>71</v>
      </c>
      <c r="D80" s="5">
        <v>444.0</v>
      </c>
      <c r="E80" s="5">
        <v>191173.0</v>
      </c>
      <c r="F80" s="6">
        <f t="shared" si="1"/>
        <v>430.5698198</v>
      </c>
      <c r="G80" s="5">
        <v>305.0</v>
      </c>
      <c r="H80" s="6">
        <f t="shared" si="2"/>
        <v>159.5413578</v>
      </c>
      <c r="I80" s="7" t="str">
        <f t="shared" si="3"/>
        <v/>
      </c>
      <c r="J80" s="6">
        <v>227.5</v>
      </c>
      <c r="K80" s="7" t="str">
        <f t="shared" si="4"/>
        <v/>
      </c>
      <c r="L80" s="6">
        <v>368.4</v>
      </c>
      <c r="M80" s="5">
        <v>869.0</v>
      </c>
      <c r="N80" s="6">
        <v>454.7</v>
      </c>
      <c r="O80" s="8">
        <v>44284.0</v>
      </c>
      <c r="P80" s="7">
        <f t="shared" si="5"/>
        <v>111</v>
      </c>
      <c r="Q80" s="6">
        <v>41.17</v>
      </c>
      <c r="R80" s="6">
        <v>50.54</v>
      </c>
      <c r="S80" s="8">
        <v>44538.0</v>
      </c>
      <c r="T80" s="8"/>
      <c r="U80" s="6">
        <v>41.7</v>
      </c>
      <c r="V80" s="5"/>
    </row>
    <row r="81" ht="15.75" customHeight="1">
      <c r="A81" s="4" t="s">
        <v>198</v>
      </c>
      <c r="B81" s="4" t="s">
        <v>199</v>
      </c>
      <c r="C81" s="4" t="s">
        <v>71</v>
      </c>
      <c r="D81" s="5">
        <v>442.0</v>
      </c>
      <c r="E81" s="5">
        <v>93772.0</v>
      </c>
      <c r="F81" s="6">
        <f t="shared" si="1"/>
        <v>212.1538462</v>
      </c>
      <c r="G81" s="5">
        <v>146.0</v>
      </c>
      <c r="H81" s="6">
        <f t="shared" si="2"/>
        <v>155.6967965</v>
      </c>
      <c r="I81" s="7" t="str">
        <f t="shared" si="3"/>
        <v/>
      </c>
      <c r="J81" s="6">
        <v>-57.9</v>
      </c>
      <c r="K81" s="7" t="str">
        <f t="shared" si="4"/>
        <v/>
      </c>
      <c r="L81" s="6">
        <v>-77.0</v>
      </c>
      <c r="M81" s="5">
        <v>-128.0</v>
      </c>
      <c r="N81" s="6">
        <v>-136.4</v>
      </c>
      <c r="O81" s="8">
        <v>44244.0</v>
      </c>
      <c r="P81" s="7">
        <f t="shared" si="5"/>
        <v>71</v>
      </c>
      <c r="Q81" s="6">
        <v>29.39</v>
      </c>
      <c r="R81" s="6">
        <v>62.77</v>
      </c>
      <c r="S81" s="8">
        <v>44488.0</v>
      </c>
      <c r="T81" s="8"/>
      <c r="U81" s="6">
        <v>32.1</v>
      </c>
      <c r="V81" s="5">
        <v>21490.943</v>
      </c>
    </row>
    <row r="82" ht="15.75" customHeight="1">
      <c r="A82" s="4" t="s">
        <v>200</v>
      </c>
      <c r="B82" s="4" t="s">
        <v>201</v>
      </c>
      <c r="C82" s="4" t="s">
        <v>39</v>
      </c>
      <c r="D82" s="5">
        <v>2586.0</v>
      </c>
      <c r="E82" s="5">
        <v>647601.0</v>
      </c>
      <c r="F82" s="6">
        <f t="shared" si="1"/>
        <v>250.4257541</v>
      </c>
      <c r="G82" s="5">
        <v>1000.0</v>
      </c>
      <c r="H82" s="6">
        <f t="shared" si="2"/>
        <v>154.4160679</v>
      </c>
      <c r="I82" s="7" t="str">
        <f t="shared" si="3"/>
        <v/>
      </c>
      <c r="J82" s="6">
        <v>48.9</v>
      </c>
      <c r="K82" s="7" t="str">
        <f t="shared" si="4"/>
        <v/>
      </c>
      <c r="L82" s="6">
        <v>38.9</v>
      </c>
      <c r="M82" s="5">
        <v>-20.0</v>
      </c>
      <c r="N82" s="6">
        <v>-3.1</v>
      </c>
      <c r="O82" s="8">
        <v>44193.0</v>
      </c>
      <c r="P82" s="7">
        <f t="shared" si="5"/>
        <v>20</v>
      </c>
      <c r="Q82" s="6">
        <v>5.85</v>
      </c>
      <c r="R82" s="6">
        <v>5.85</v>
      </c>
      <c r="S82" s="8">
        <v>45088.0</v>
      </c>
      <c r="T82" s="8">
        <v>45088.0</v>
      </c>
      <c r="U82" s="6">
        <v>39.7</v>
      </c>
      <c r="V82" s="5">
        <v>94277.965</v>
      </c>
    </row>
    <row r="83" ht="15.75" customHeight="1">
      <c r="A83" s="4" t="s">
        <v>202</v>
      </c>
      <c r="B83" s="4" t="s">
        <v>203</v>
      </c>
      <c r="C83" s="4" t="s">
        <v>71</v>
      </c>
      <c r="D83" s="5">
        <v>328.0</v>
      </c>
      <c r="E83" s="5">
        <v>27052.0</v>
      </c>
      <c r="F83" s="6">
        <f t="shared" si="1"/>
        <v>82.47560976</v>
      </c>
      <c r="G83" s="5">
        <v>41.0</v>
      </c>
      <c r="H83" s="6">
        <f t="shared" si="2"/>
        <v>151.5599586</v>
      </c>
      <c r="I83" s="7" t="str">
        <f t="shared" si="3"/>
        <v/>
      </c>
      <c r="J83" s="6">
        <v>396.0</v>
      </c>
      <c r="K83" s="7" t="str">
        <f t="shared" si="4"/>
        <v/>
      </c>
      <c r="L83" s="6">
        <v>627.9</v>
      </c>
      <c r="M83" s="5">
        <v>191.0</v>
      </c>
      <c r="N83" s="6">
        <v>704.9</v>
      </c>
      <c r="O83" s="8">
        <v>44295.0</v>
      </c>
      <c r="P83" s="7">
        <f t="shared" si="5"/>
        <v>122</v>
      </c>
      <c r="Q83" s="6">
        <v>6.15</v>
      </c>
      <c r="R83" s="6">
        <v>61.87</v>
      </c>
      <c r="S83" s="8">
        <v>44440.0</v>
      </c>
      <c r="T83" s="8"/>
      <c r="U83" s="6"/>
      <c r="V83" s="5"/>
    </row>
    <row r="84" ht="15.75" customHeight="1">
      <c r="A84" s="4" t="s">
        <v>204</v>
      </c>
      <c r="B84" s="4" t="s">
        <v>205</v>
      </c>
      <c r="C84" s="4" t="s">
        <v>39</v>
      </c>
      <c r="D84" s="5">
        <v>118.0</v>
      </c>
      <c r="E84" s="5">
        <v>110796.0</v>
      </c>
      <c r="F84" s="6">
        <f t="shared" si="1"/>
        <v>938.9491525</v>
      </c>
      <c r="G84" s="5">
        <v>161.0</v>
      </c>
      <c r="H84" s="6">
        <f t="shared" si="2"/>
        <v>145.3121051</v>
      </c>
      <c r="I84" s="7" t="str">
        <f t="shared" si="3"/>
        <v/>
      </c>
      <c r="J84" s="6">
        <v>288.4</v>
      </c>
      <c r="K84" s="7" t="str">
        <f t="shared" si="4"/>
        <v/>
      </c>
      <c r="L84" s="6">
        <v>494.0</v>
      </c>
      <c r="M84" s="5">
        <v>575.0</v>
      </c>
      <c r="N84" s="6">
        <v>519.1</v>
      </c>
      <c r="O84" s="8">
        <v>44269.0</v>
      </c>
      <c r="P84" s="7">
        <f t="shared" si="5"/>
        <v>96</v>
      </c>
      <c r="Q84" s="6">
        <v>47.47</v>
      </c>
      <c r="R84" s="6">
        <v>69.49</v>
      </c>
      <c r="S84" s="8">
        <v>44384.0</v>
      </c>
      <c r="T84" s="8">
        <v>44573.0</v>
      </c>
      <c r="U84" s="6"/>
      <c r="V84" s="5"/>
    </row>
    <row r="85" ht="15.75" customHeight="1">
      <c r="A85" s="4" t="s">
        <v>206</v>
      </c>
      <c r="B85" s="4" t="s">
        <v>207</v>
      </c>
      <c r="C85" s="4" t="s">
        <v>71</v>
      </c>
      <c r="D85" s="5">
        <v>53.0</v>
      </c>
      <c r="E85" s="5">
        <v>31816.0</v>
      </c>
      <c r="F85" s="6">
        <f t="shared" si="1"/>
        <v>600.3018868</v>
      </c>
      <c r="G85" s="5">
        <v>46.0</v>
      </c>
      <c r="H85" s="6">
        <f t="shared" si="2"/>
        <v>144.5813427</v>
      </c>
      <c r="I85" s="7" t="str">
        <f t="shared" si="3"/>
        <v/>
      </c>
      <c r="J85" s="6">
        <v>284.3</v>
      </c>
      <c r="K85" s="7" t="str">
        <f t="shared" si="4"/>
        <v/>
      </c>
      <c r="L85" s="6">
        <v>346.9</v>
      </c>
      <c r="M85" s="5">
        <v>117.0</v>
      </c>
      <c r="N85" s="6">
        <v>367.8</v>
      </c>
      <c r="O85" s="8"/>
      <c r="P85" s="7" t="str">
        <f t="shared" si="5"/>
        <v/>
      </c>
      <c r="Q85" s="6"/>
      <c r="R85" s="6"/>
      <c r="S85" s="8"/>
      <c r="T85" s="8"/>
      <c r="U85" s="6"/>
      <c r="V85" s="5"/>
    </row>
    <row r="86" ht="15.75" customHeight="1">
      <c r="A86" s="4" t="s">
        <v>208</v>
      </c>
      <c r="B86" s="4" t="s">
        <v>209</v>
      </c>
      <c r="C86" s="4" t="s">
        <v>71</v>
      </c>
      <c r="D86" s="5">
        <v>9970610.0</v>
      </c>
      <c r="E86" s="5">
        <v>3.8454328E7</v>
      </c>
      <c r="F86" s="6">
        <f t="shared" si="1"/>
        <v>3.856767841</v>
      </c>
      <c r="G86" s="5">
        <v>55282.0</v>
      </c>
      <c r="H86" s="6">
        <f t="shared" si="2"/>
        <v>143.760151</v>
      </c>
      <c r="I86" s="7">
        <f t="shared" si="3"/>
        <v>54</v>
      </c>
      <c r="J86" s="6">
        <v>76.9</v>
      </c>
      <c r="K86" s="7">
        <f t="shared" si="4"/>
        <v>131</v>
      </c>
      <c r="L86" s="6">
        <v>163.9</v>
      </c>
      <c r="M86" s="5">
        <v>86506.0</v>
      </c>
      <c r="N86" s="6">
        <v>225.0</v>
      </c>
      <c r="O86" s="8">
        <v>44179.0</v>
      </c>
      <c r="P86" s="7">
        <f t="shared" si="5"/>
        <v>6</v>
      </c>
      <c r="Q86" s="6">
        <v>30.66</v>
      </c>
      <c r="R86" s="6">
        <v>76.55</v>
      </c>
      <c r="S86" s="8">
        <v>44396.0</v>
      </c>
      <c r="T86" s="8">
        <v>44467.0</v>
      </c>
      <c r="U86" s="6">
        <v>41.4</v>
      </c>
      <c r="V86" s="5">
        <v>44017.591</v>
      </c>
    </row>
    <row r="87" ht="15.75" customHeight="1">
      <c r="A87" s="4" t="s">
        <v>210</v>
      </c>
      <c r="B87" s="4" t="s">
        <v>211</v>
      </c>
      <c r="C87" s="4" t="s">
        <v>39</v>
      </c>
      <c r="D87" s="5">
        <v>572.0</v>
      </c>
      <c r="E87" s="5">
        <v>84534.0</v>
      </c>
      <c r="F87" s="6">
        <f t="shared" si="1"/>
        <v>147.7867133</v>
      </c>
      <c r="G87" s="5">
        <v>116.0</v>
      </c>
      <c r="H87" s="6">
        <f t="shared" si="2"/>
        <v>137.2228926</v>
      </c>
      <c r="I87" s="7" t="str">
        <f t="shared" si="3"/>
        <v/>
      </c>
      <c r="J87" s="6">
        <v>143.0</v>
      </c>
      <c r="K87" s="7" t="str">
        <f t="shared" si="4"/>
        <v/>
      </c>
      <c r="L87" s="6">
        <v>268.1</v>
      </c>
      <c r="M87" s="5">
        <v>246.0</v>
      </c>
      <c r="N87" s="6">
        <v>291.4</v>
      </c>
      <c r="O87" s="8">
        <v>44217.0</v>
      </c>
      <c r="P87" s="7">
        <f t="shared" si="5"/>
        <v>44</v>
      </c>
      <c r="Q87" s="6">
        <v>49.4</v>
      </c>
      <c r="R87" s="6">
        <v>77.43</v>
      </c>
      <c r="S87" s="8">
        <v>44378.0</v>
      </c>
      <c r="T87" s="8">
        <v>44410.0</v>
      </c>
      <c r="U87" s="6"/>
      <c r="V87" s="5"/>
    </row>
    <row r="88" ht="15.75" customHeight="1">
      <c r="A88" s="4" t="s">
        <v>212</v>
      </c>
      <c r="B88" s="4" t="s">
        <v>213</v>
      </c>
      <c r="C88" s="4" t="s">
        <v>36</v>
      </c>
      <c r="D88" s="5">
        <v>90000.0</v>
      </c>
      <c r="E88" s="5">
        <v>304568.0</v>
      </c>
      <c r="F88" s="6">
        <f t="shared" si="1"/>
        <v>3.384088889</v>
      </c>
      <c r="G88" s="5">
        <v>413.0</v>
      </c>
      <c r="H88" s="6">
        <f t="shared" si="2"/>
        <v>135.6019017</v>
      </c>
      <c r="I88" s="7" t="str">
        <f t="shared" si="3"/>
        <v/>
      </c>
      <c r="J88" s="6">
        <v>317.4</v>
      </c>
      <c r="K88" s="7" t="str">
        <f t="shared" si="4"/>
        <v/>
      </c>
      <c r="L88" s="6">
        <v>409.2</v>
      </c>
      <c r="M88" s="5">
        <v>1326.0</v>
      </c>
      <c r="N88" s="6">
        <v>435.5</v>
      </c>
      <c r="O88" s="8"/>
      <c r="P88" s="7" t="str">
        <f t="shared" si="5"/>
        <v/>
      </c>
      <c r="Q88" s="6"/>
      <c r="R88" s="6"/>
      <c r="S88" s="8"/>
      <c r="T88" s="8"/>
      <c r="U88" s="6">
        <v>25.3</v>
      </c>
      <c r="V88" s="5"/>
    </row>
    <row r="89" ht="15.75" customHeight="1">
      <c r="A89" s="4" t="s">
        <v>214</v>
      </c>
      <c r="B89" s="4" t="s">
        <v>215</v>
      </c>
      <c r="C89" s="4" t="s">
        <v>52</v>
      </c>
      <c r="D89" s="5">
        <v>21056.0</v>
      </c>
      <c r="E89" s="5">
        <v>9449000.0</v>
      </c>
      <c r="F89" s="6">
        <f t="shared" si="1"/>
        <v>448.7556991</v>
      </c>
      <c r="G89" s="5">
        <v>12707.0</v>
      </c>
      <c r="H89" s="6">
        <f t="shared" si="2"/>
        <v>134.4798391</v>
      </c>
      <c r="I89" s="7">
        <f t="shared" si="3"/>
        <v>55</v>
      </c>
      <c r="J89" s="6">
        <v>85.3</v>
      </c>
      <c r="K89" s="7">
        <f t="shared" si="4"/>
        <v>121</v>
      </c>
      <c r="L89" s="6">
        <v>143.1</v>
      </c>
      <c r="M89" s="5">
        <v>19167.0</v>
      </c>
      <c r="N89" s="6">
        <v>202.9</v>
      </c>
      <c r="O89" s="8">
        <v>44184.0</v>
      </c>
      <c r="P89" s="7">
        <f t="shared" si="5"/>
        <v>11</v>
      </c>
      <c r="Q89" s="6">
        <v>55.04</v>
      </c>
      <c r="R89" s="6">
        <v>62.89</v>
      </c>
      <c r="S89" s="8">
        <v>44281.0</v>
      </c>
      <c r="T89" s="8"/>
      <c r="U89" s="6">
        <v>30.6</v>
      </c>
      <c r="V89" s="5">
        <v>33132.32</v>
      </c>
    </row>
    <row r="90" ht="15.75" customHeight="1">
      <c r="A90" s="4" t="s">
        <v>216</v>
      </c>
      <c r="B90" s="4" t="s">
        <v>217</v>
      </c>
      <c r="C90" s="4" t="s">
        <v>71</v>
      </c>
      <c r="D90" s="5">
        <v>347.0</v>
      </c>
      <c r="E90" s="5">
        <v>99479.0</v>
      </c>
      <c r="F90" s="6">
        <f t="shared" si="1"/>
        <v>286.6829971</v>
      </c>
      <c r="G90" s="5">
        <v>132.0</v>
      </c>
      <c r="H90" s="6">
        <f t="shared" si="2"/>
        <v>132.6913218</v>
      </c>
      <c r="I90" s="7" t="str">
        <f t="shared" si="3"/>
        <v/>
      </c>
      <c r="J90" s="6">
        <v>368.7</v>
      </c>
      <c r="K90" s="7" t="str">
        <f t="shared" si="4"/>
        <v/>
      </c>
      <c r="L90" s="6">
        <v>513.2</v>
      </c>
      <c r="M90" s="5">
        <v>618.0</v>
      </c>
      <c r="N90" s="6">
        <v>621.0</v>
      </c>
      <c r="O90" s="8"/>
      <c r="P90" s="7" t="str">
        <f t="shared" si="5"/>
        <v/>
      </c>
      <c r="Q90" s="6"/>
      <c r="R90" s="6"/>
      <c r="S90" s="8"/>
      <c r="T90" s="8"/>
      <c r="U90" s="6">
        <v>42.2</v>
      </c>
      <c r="V90" s="5"/>
    </row>
    <row r="91" ht="15.75" customHeight="1">
      <c r="A91" s="4" t="s">
        <v>218</v>
      </c>
      <c r="B91" s="4" t="s">
        <v>219</v>
      </c>
      <c r="C91" s="4" t="s">
        <v>39</v>
      </c>
      <c r="D91" s="5">
        <v>41526.0</v>
      </c>
      <c r="E91" s="5">
        <v>1.756402E7</v>
      </c>
      <c r="F91" s="6">
        <f t="shared" si="1"/>
        <v>422.9644078</v>
      </c>
      <c r="G91" s="5">
        <v>22986.0</v>
      </c>
      <c r="H91" s="6">
        <f t="shared" si="2"/>
        <v>130.8698123</v>
      </c>
      <c r="I91" s="7">
        <f t="shared" si="3"/>
        <v>56</v>
      </c>
      <c r="J91" s="6">
        <v>189.5</v>
      </c>
      <c r="K91" s="7">
        <f t="shared" si="4"/>
        <v>66</v>
      </c>
      <c r="L91" s="6">
        <v>273.9</v>
      </c>
      <c r="M91" s="5">
        <v>67959.0</v>
      </c>
      <c r="N91" s="6">
        <v>386.9</v>
      </c>
      <c r="O91" s="8">
        <v>44204.0</v>
      </c>
      <c r="P91" s="7">
        <f t="shared" si="5"/>
        <v>31</v>
      </c>
      <c r="Q91" s="6">
        <v>29.86</v>
      </c>
      <c r="R91" s="6">
        <v>65.97</v>
      </c>
      <c r="S91" s="8">
        <v>44414.0</v>
      </c>
      <c r="T91" s="8"/>
      <c r="U91" s="6">
        <v>43.2</v>
      </c>
      <c r="V91" s="5">
        <v>48472.545</v>
      </c>
    </row>
    <row r="92" ht="15.75" customHeight="1">
      <c r="A92" s="4" t="s">
        <v>220</v>
      </c>
      <c r="B92" s="4" t="s">
        <v>221</v>
      </c>
      <c r="C92" s="4" t="s">
        <v>71</v>
      </c>
      <c r="D92" s="5">
        <v>10990.0</v>
      </c>
      <c r="E92" s="5">
        <v>2827382.0</v>
      </c>
      <c r="F92" s="6">
        <f t="shared" si="1"/>
        <v>257.2686078</v>
      </c>
      <c r="G92" s="5">
        <v>3611.0</v>
      </c>
      <c r="H92" s="6">
        <f t="shared" si="2"/>
        <v>127.7153211</v>
      </c>
      <c r="I92" s="7">
        <f t="shared" si="3"/>
        <v>57</v>
      </c>
      <c r="J92" s="6">
        <v>183.4</v>
      </c>
      <c r="K92" s="7">
        <f t="shared" si="4"/>
        <v>68</v>
      </c>
      <c r="L92" s="6">
        <v>191.8</v>
      </c>
      <c r="M92" s="5">
        <v>6225.0</v>
      </c>
      <c r="N92" s="6">
        <v>220.2</v>
      </c>
      <c r="O92" s="8">
        <v>44265.0</v>
      </c>
      <c r="P92" s="7">
        <f t="shared" si="5"/>
        <v>92</v>
      </c>
      <c r="Q92" s="6">
        <v>2.72</v>
      </c>
      <c r="R92" s="6">
        <v>20.05</v>
      </c>
      <c r="S92" s="8"/>
      <c r="T92" s="8"/>
      <c r="U92" s="6">
        <v>31.4</v>
      </c>
      <c r="V92" s="5">
        <v>8193.571</v>
      </c>
    </row>
    <row r="93" ht="15.75" customHeight="1">
      <c r="A93" s="4" t="s">
        <v>222</v>
      </c>
      <c r="B93" s="4" t="s">
        <v>223</v>
      </c>
      <c r="C93" s="4" t="s">
        <v>39</v>
      </c>
      <c r="D93" s="5">
        <v>28748.0</v>
      </c>
      <c r="E93" s="5">
        <v>2842318.0</v>
      </c>
      <c r="F93" s="6">
        <f t="shared" si="1"/>
        <v>98.8701127</v>
      </c>
      <c r="G93" s="5">
        <v>3605.0</v>
      </c>
      <c r="H93" s="6">
        <f t="shared" si="2"/>
        <v>126.8330989</v>
      </c>
      <c r="I93" s="7">
        <f t="shared" si="3"/>
        <v>58</v>
      </c>
      <c r="J93" s="6">
        <v>543.1</v>
      </c>
      <c r="K93" s="7">
        <f t="shared" si="4"/>
        <v>10</v>
      </c>
      <c r="L93" s="6">
        <v>603.2</v>
      </c>
      <c r="M93" s="5">
        <v>15659.0</v>
      </c>
      <c r="N93" s="6">
        <v>550.9</v>
      </c>
      <c r="O93" s="8">
        <v>44207.0</v>
      </c>
      <c r="P93" s="7">
        <f t="shared" si="5"/>
        <v>34</v>
      </c>
      <c r="Q93" s="6">
        <v>14.2</v>
      </c>
      <c r="R93" s="6">
        <v>36.28</v>
      </c>
      <c r="S93" s="8"/>
      <c r="T93" s="8"/>
      <c r="U93" s="6">
        <v>38.0</v>
      </c>
      <c r="V93" s="5">
        <v>11803.431</v>
      </c>
    </row>
    <row r="94" ht="15.75" customHeight="1">
      <c r="A94" s="4" t="s">
        <v>224</v>
      </c>
      <c r="B94" s="4" t="s">
        <v>225</v>
      </c>
      <c r="C94" s="4" t="s">
        <v>52</v>
      </c>
      <c r="D94" s="5">
        <v>88946.0</v>
      </c>
      <c r="E94" s="5">
        <v>1.1285875E7</v>
      </c>
      <c r="F94" s="6">
        <f t="shared" si="1"/>
        <v>126.8845704</v>
      </c>
      <c r="G94" s="5">
        <v>14122.0</v>
      </c>
      <c r="H94" s="6">
        <f t="shared" si="2"/>
        <v>125.1298637</v>
      </c>
      <c r="I94" s="7">
        <f t="shared" si="3"/>
        <v>59</v>
      </c>
      <c r="J94" s="6">
        <v>129.7</v>
      </c>
      <c r="K94" s="7">
        <f t="shared" si="4"/>
        <v>86</v>
      </c>
      <c r="L94" s="6">
        <v>140.1</v>
      </c>
      <c r="M94" s="5">
        <v>14728.0</v>
      </c>
      <c r="N94" s="6">
        <v>130.5</v>
      </c>
      <c r="O94" s="8">
        <v>44209.0</v>
      </c>
      <c r="P94" s="7">
        <f t="shared" si="5"/>
        <v>36</v>
      </c>
      <c r="Q94" s="6">
        <v>12.57</v>
      </c>
      <c r="R94" s="6">
        <v>34.86</v>
      </c>
      <c r="S94" s="8"/>
      <c r="T94" s="8"/>
      <c r="U94" s="6">
        <v>23.2</v>
      </c>
      <c r="V94" s="5">
        <v>8337.49</v>
      </c>
    </row>
    <row r="95" ht="15.75" customHeight="1">
      <c r="A95" s="4" t="s">
        <v>226</v>
      </c>
      <c r="B95" s="4" t="s">
        <v>227</v>
      </c>
      <c r="C95" s="4" t="s">
        <v>71</v>
      </c>
      <c r="D95" s="5">
        <v>388.0</v>
      </c>
      <c r="E95" s="5">
        <v>103959.0</v>
      </c>
      <c r="F95" s="6">
        <f t="shared" si="1"/>
        <v>267.935567</v>
      </c>
      <c r="G95" s="5">
        <v>124.0</v>
      </c>
      <c r="H95" s="6">
        <f t="shared" si="2"/>
        <v>119.2777922</v>
      </c>
      <c r="I95" s="7" t="str">
        <f t="shared" si="3"/>
        <v/>
      </c>
      <c r="J95" s="6">
        <v>104.3</v>
      </c>
      <c r="K95" s="7" t="str">
        <f t="shared" si="4"/>
        <v/>
      </c>
      <c r="L95" s="6">
        <v>197.0</v>
      </c>
      <c r="M95" s="5">
        <v>273.0</v>
      </c>
      <c r="N95" s="6">
        <v>262.5</v>
      </c>
      <c r="O95" s="8">
        <v>44272.0</v>
      </c>
      <c r="P95" s="7">
        <f t="shared" si="5"/>
        <v>99</v>
      </c>
      <c r="Q95" s="6"/>
      <c r="R95" s="6">
        <v>25.24</v>
      </c>
      <c r="S95" s="8"/>
      <c r="T95" s="8"/>
      <c r="U95" s="6">
        <v>31.8</v>
      </c>
      <c r="V95" s="5">
        <v>10727.146</v>
      </c>
    </row>
    <row r="96" ht="15.75" customHeight="1">
      <c r="A96" s="4" t="s">
        <v>228</v>
      </c>
      <c r="B96" s="4" t="s">
        <v>229</v>
      </c>
      <c r="C96" s="4" t="s">
        <v>52</v>
      </c>
      <c r="D96" s="5">
        <v>774815.0</v>
      </c>
      <c r="E96" s="5">
        <v>8.5341248E7</v>
      </c>
      <c r="F96" s="6">
        <f t="shared" si="1"/>
        <v>110.1440318</v>
      </c>
      <c r="G96" s="5">
        <v>101419.0</v>
      </c>
      <c r="H96" s="6">
        <f t="shared" si="2"/>
        <v>118.8393683</v>
      </c>
      <c r="I96" s="7">
        <f t="shared" si="3"/>
        <v>60</v>
      </c>
      <c r="J96" s="6">
        <v>224.3</v>
      </c>
      <c r="K96" s="7">
        <f t="shared" si="4"/>
        <v>52</v>
      </c>
      <c r="L96" s="6">
        <v>288.5</v>
      </c>
      <c r="M96" s="5">
        <v>298149.0</v>
      </c>
      <c r="N96" s="6">
        <v>349.4</v>
      </c>
      <c r="O96" s="8">
        <v>44210.0</v>
      </c>
      <c r="P96" s="7">
        <f t="shared" si="5"/>
        <v>37</v>
      </c>
      <c r="Q96" s="6">
        <v>17.83</v>
      </c>
      <c r="R96" s="6">
        <v>60.47</v>
      </c>
      <c r="S96" s="8">
        <v>44461.0</v>
      </c>
      <c r="T96" s="8"/>
      <c r="U96" s="6">
        <v>31.6</v>
      </c>
      <c r="V96" s="5">
        <v>25129.341</v>
      </c>
    </row>
    <row r="97" ht="15.75" customHeight="1">
      <c r="A97" s="4" t="s">
        <v>230</v>
      </c>
      <c r="B97" s="4" t="s">
        <v>231</v>
      </c>
      <c r="C97" s="4" t="s">
        <v>129</v>
      </c>
      <c r="D97" s="5">
        <v>17364.0</v>
      </c>
      <c r="E97" s="5">
        <v>1201680.0</v>
      </c>
      <c r="F97" s="6">
        <f t="shared" si="1"/>
        <v>69.20525225</v>
      </c>
      <c r="G97" s="5">
        <v>1427.0</v>
      </c>
      <c r="H97" s="6">
        <f t="shared" si="2"/>
        <v>118.7504161</v>
      </c>
      <c r="I97" s="7">
        <f t="shared" si="3"/>
        <v>61</v>
      </c>
      <c r="J97" s="6">
        <v>157.2</v>
      </c>
      <c r="K97" s="7">
        <f t="shared" si="4"/>
        <v>77</v>
      </c>
      <c r="L97" s="6">
        <v>201.2</v>
      </c>
      <c r="M97" s="5">
        <v>2525.0</v>
      </c>
      <c r="N97" s="6">
        <v>210.1</v>
      </c>
      <c r="O97" s="8">
        <v>44286.0</v>
      </c>
      <c r="P97" s="7">
        <f t="shared" si="5"/>
        <v>113</v>
      </c>
      <c r="Q97" s="6">
        <v>0.86</v>
      </c>
      <c r="R97" s="6">
        <v>25.07</v>
      </c>
      <c r="S97" s="8"/>
      <c r="T97" s="8"/>
      <c r="U97" s="6">
        <v>21.5</v>
      </c>
      <c r="V97" s="5">
        <v>7738.975</v>
      </c>
    </row>
    <row r="98" ht="15.75" customHeight="1">
      <c r="A98" s="4" t="s">
        <v>232</v>
      </c>
      <c r="B98" s="4" t="s">
        <v>233</v>
      </c>
      <c r="C98" s="4" t="s">
        <v>71</v>
      </c>
      <c r="D98" s="5">
        <v>108889.0</v>
      </c>
      <c r="E98" s="5">
        <v>1.7843914E7</v>
      </c>
      <c r="F98" s="6">
        <f t="shared" si="1"/>
        <v>163.8725124</v>
      </c>
      <c r="G98" s="5">
        <v>20203.0</v>
      </c>
      <c r="H98" s="6">
        <f t="shared" si="2"/>
        <v>113.2206757</v>
      </c>
      <c r="I98" s="7">
        <f t="shared" si="3"/>
        <v>62</v>
      </c>
      <c r="J98" s="6">
        <v>245.2</v>
      </c>
      <c r="K98" s="7">
        <f t="shared" si="4"/>
        <v>46</v>
      </c>
      <c r="L98" s="6">
        <v>292.7</v>
      </c>
      <c r="M98" s="5">
        <v>56089.0</v>
      </c>
      <c r="N98" s="6">
        <v>314.3</v>
      </c>
      <c r="O98" s="8">
        <v>44253.0</v>
      </c>
      <c r="P98" s="7">
        <f t="shared" si="5"/>
        <v>80</v>
      </c>
      <c r="Q98" s="6">
        <v>0.9</v>
      </c>
      <c r="R98" s="6">
        <v>26.27</v>
      </c>
      <c r="S98" s="8"/>
      <c r="T98" s="8"/>
      <c r="U98" s="6">
        <v>22.9</v>
      </c>
      <c r="V98" s="5">
        <v>7423.808</v>
      </c>
    </row>
    <row r="99" ht="15.75" customHeight="1">
      <c r="A99" s="4" t="s">
        <v>234</v>
      </c>
      <c r="B99" s="4" t="s">
        <v>235</v>
      </c>
      <c r="C99" s="4" t="s">
        <v>52</v>
      </c>
      <c r="D99" s="5">
        <v>329758.0</v>
      </c>
      <c r="E99" s="5">
        <v>3.3938216E7</v>
      </c>
      <c r="F99" s="6">
        <f t="shared" si="1"/>
        <v>102.9185524</v>
      </c>
      <c r="G99" s="5">
        <v>37351.0</v>
      </c>
      <c r="H99" s="6">
        <f t="shared" si="2"/>
        <v>110.0558733</v>
      </c>
      <c r="I99" s="7">
        <f t="shared" si="3"/>
        <v>63</v>
      </c>
      <c r="J99" s="6">
        <v>75.8</v>
      </c>
      <c r="K99" s="7">
        <f t="shared" si="4"/>
        <v>134</v>
      </c>
      <c r="L99" s="6">
        <v>125.0</v>
      </c>
      <c r="M99" s="5">
        <v>50327.0</v>
      </c>
      <c r="N99" s="6">
        <v>148.3</v>
      </c>
      <c r="O99" s="8">
        <v>44251.0</v>
      </c>
      <c r="P99" s="7">
        <f t="shared" si="5"/>
        <v>78</v>
      </c>
      <c r="Q99" s="6">
        <v>6.9</v>
      </c>
      <c r="R99" s="6">
        <v>75.62</v>
      </c>
      <c r="S99" s="8">
        <v>44448.0</v>
      </c>
      <c r="T99" s="8">
        <v>44490.0</v>
      </c>
      <c r="U99" s="6">
        <v>29.9</v>
      </c>
      <c r="V99" s="5">
        <v>26808.164</v>
      </c>
    </row>
    <row r="100" ht="15.75" customHeight="1">
      <c r="A100" s="4" t="s">
        <v>236</v>
      </c>
      <c r="B100" s="4" t="s">
        <v>237</v>
      </c>
      <c r="C100" s="4" t="s">
        <v>52</v>
      </c>
      <c r="D100" s="5">
        <v>6257.0</v>
      </c>
      <c r="E100" s="5">
        <v>5250076.0</v>
      </c>
      <c r="F100" s="6">
        <f t="shared" si="1"/>
        <v>839.0723989</v>
      </c>
      <c r="G100" s="5">
        <v>5708.0</v>
      </c>
      <c r="H100" s="6">
        <f t="shared" si="2"/>
        <v>108.7222356</v>
      </c>
      <c r="I100" s="7">
        <f t="shared" si="3"/>
        <v>64</v>
      </c>
      <c r="J100" s="6">
        <v>90.1</v>
      </c>
      <c r="K100" s="7">
        <f t="shared" si="4"/>
        <v>118</v>
      </c>
      <c r="L100" s="6">
        <v>119.2</v>
      </c>
      <c r="M100" s="5">
        <v>5977.0</v>
      </c>
      <c r="N100" s="6">
        <v>113.8</v>
      </c>
      <c r="O100" s="8">
        <v>44285.0</v>
      </c>
      <c r="P100" s="7">
        <f t="shared" si="5"/>
        <v>112</v>
      </c>
      <c r="Q100" s="6">
        <v>4.4</v>
      </c>
      <c r="R100" s="6">
        <v>28.87</v>
      </c>
      <c r="S100" s="8"/>
      <c r="T100" s="8"/>
      <c r="U100" s="6">
        <v>20.4</v>
      </c>
      <c r="V100" s="5">
        <v>4449.898</v>
      </c>
    </row>
    <row r="101" ht="15.75" customHeight="1">
      <c r="A101" s="4" t="s">
        <v>238</v>
      </c>
      <c r="B101" s="4" t="s">
        <v>239</v>
      </c>
      <c r="C101" s="4" t="s">
        <v>126</v>
      </c>
      <c r="D101" s="5">
        <v>18575.0</v>
      </c>
      <c r="E101" s="5">
        <v>289959.0</v>
      </c>
      <c r="F101" s="6">
        <f t="shared" si="1"/>
        <v>15.61017497</v>
      </c>
      <c r="G101" s="5">
        <v>314.0</v>
      </c>
      <c r="H101" s="6">
        <f t="shared" si="2"/>
        <v>108.2911722</v>
      </c>
      <c r="I101" s="7" t="str">
        <f t="shared" si="3"/>
        <v/>
      </c>
      <c r="J101" s="6">
        <v>40.7</v>
      </c>
      <c r="K101" s="7" t="str">
        <f t="shared" si="4"/>
        <v/>
      </c>
      <c r="L101" s="6">
        <v>103.7</v>
      </c>
      <c r="M101" s="5">
        <v>205.0</v>
      </c>
      <c r="N101" s="6">
        <v>70.7</v>
      </c>
      <c r="O101" s="8">
        <v>44229.0</v>
      </c>
      <c r="P101" s="7">
        <f t="shared" si="5"/>
        <v>56</v>
      </c>
      <c r="Q101" s="6">
        <v>17.91</v>
      </c>
      <c r="R101" s="6">
        <v>59.74</v>
      </c>
      <c r="S101" s="8">
        <v>44494.0</v>
      </c>
      <c r="T101" s="8"/>
      <c r="U101" s="6">
        <v>33.4</v>
      </c>
      <c r="V101" s="5"/>
    </row>
    <row r="102" ht="15.75" customHeight="1">
      <c r="A102" s="4" t="s">
        <v>240</v>
      </c>
      <c r="B102" s="4" t="s">
        <v>241</v>
      </c>
      <c r="C102" s="4" t="s">
        <v>129</v>
      </c>
      <c r="D102" s="5">
        <v>581730.0</v>
      </c>
      <c r="E102" s="5">
        <v>2630300.0</v>
      </c>
      <c r="F102" s="6">
        <f t="shared" si="1"/>
        <v>4.521513417</v>
      </c>
      <c r="G102" s="5">
        <v>2801.0</v>
      </c>
      <c r="H102" s="6">
        <f t="shared" si="2"/>
        <v>106.489754</v>
      </c>
      <c r="I102" s="7">
        <f t="shared" si="3"/>
        <v>66</v>
      </c>
      <c r="J102" s="6">
        <v>136.4</v>
      </c>
      <c r="K102" s="7">
        <f t="shared" si="4"/>
        <v>85</v>
      </c>
      <c r="L102" s="6">
        <v>179.2</v>
      </c>
      <c r="M102" s="5">
        <v>5017.0</v>
      </c>
      <c r="N102" s="6">
        <v>190.8</v>
      </c>
      <c r="O102" s="8">
        <v>44281.0</v>
      </c>
      <c r="P102" s="7">
        <f t="shared" si="5"/>
        <v>108</v>
      </c>
      <c r="Q102" s="6">
        <v>3.48</v>
      </c>
      <c r="R102" s="6">
        <v>39.31</v>
      </c>
      <c r="S102" s="8">
        <v>44682.0</v>
      </c>
      <c r="T102" s="8"/>
      <c r="U102" s="6">
        <v>25.8</v>
      </c>
      <c r="V102" s="5">
        <v>15807.374</v>
      </c>
    </row>
    <row r="103" ht="15.75" customHeight="1">
      <c r="A103" s="4" t="s">
        <v>242</v>
      </c>
      <c r="B103" s="4" t="s">
        <v>243</v>
      </c>
      <c r="C103" s="4" t="s">
        <v>71</v>
      </c>
      <c r="D103" s="5">
        <v>112088.0</v>
      </c>
      <c r="E103" s="5">
        <v>1.0432858E7</v>
      </c>
      <c r="F103" s="6">
        <f t="shared" si="1"/>
        <v>93.07738563</v>
      </c>
      <c r="G103" s="5">
        <v>11114.0</v>
      </c>
      <c r="H103" s="6">
        <f t="shared" si="2"/>
        <v>106.528815</v>
      </c>
      <c r="I103" s="7">
        <f t="shared" si="3"/>
        <v>65</v>
      </c>
      <c r="J103" s="6">
        <v>271.0</v>
      </c>
      <c r="K103" s="7">
        <f t="shared" si="4"/>
        <v>39</v>
      </c>
      <c r="L103" s="6">
        <v>292.2</v>
      </c>
      <c r="M103" s="5">
        <v>31579.0</v>
      </c>
      <c r="N103" s="6">
        <v>302.7</v>
      </c>
      <c r="O103" s="8">
        <v>44255.0</v>
      </c>
      <c r="P103" s="7">
        <f t="shared" si="5"/>
        <v>82</v>
      </c>
      <c r="Q103" s="6">
        <v>0.56</v>
      </c>
      <c r="R103" s="6">
        <v>41.18</v>
      </c>
      <c r="S103" s="8">
        <v>44715.0</v>
      </c>
      <c r="T103" s="8"/>
      <c r="U103" s="6">
        <v>24.9</v>
      </c>
      <c r="V103" s="5">
        <v>4541.795</v>
      </c>
    </row>
    <row r="104" ht="15.75" customHeight="1">
      <c r="A104" s="4" t="s">
        <v>244</v>
      </c>
      <c r="B104" s="4" t="s">
        <v>245</v>
      </c>
      <c r="C104" s="4" t="s">
        <v>39</v>
      </c>
      <c r="D104" s="5">
        <v>78.0</v>
      </c>
      <c r="E104" s="5">
        <v>63329.0</v>
      </c>
      <c r="F104" s="6">
        <f t="shared" si="1"/>
        <v>811.9102564</v>
      </c>
      <c r="G104" s="5">
        <v>67.0</v>
      </c>
      <c r="H104" s="6">
        <f t="shared" si="2"/>
        <v>105.7967124</v>
      </c>
      <c r="I104" s="7" t="str">
        <f t="shared" si="3"/>
        <v/>
      </c>
      <c r="J104" s="6">
        <v>194.0</v>
      </c>
      <c r="K104" s="7" t="str">
        <f t="shared" si="4"/>
        <v/>
      </c>
      <c r="L104" s="6">
        <v>426.4</v>
      </c>
      <c r="M104" s="5">
        <v>283.0</v>
      </c>
      <c r="N104" s="6">
        <v>446.7</v>
      </c>
      <c r="O104" s="8">
        <v>44220.0</v>
      </c>
      <c r="P104" s="7">
        <f t="shared" si="5"/>
        <v>47</v>
      </c>
      <c r="Q104" s="6">
        <v>21.5</v>
      </c>
      <c r="R104" s="6">
        <v>21.5</v>
      </c>
      <c r="S104" s="8">
        <v>44572.0</v>
      </c>
      <c r="T104" s="8">
        <v>44572.0</v>
      </c>
      <c r="U104" s="6"/>
      <c r="V104" s="5"/>
    </row>
    <row r="105" ht="15.75" customHeight="1">
      <c r="A105" s="4" t="s">
        <v>246</v>
      </c>
      <c r="B105" s="4" t="s">
        <v>247</v>
      </c>
      <c r="C105" s="4" t="s">
        <v>39</v>
      </c>
      <c r="D105" s="5">
        <v>323877.0</v>
      </c>
      <c r="E105" s="5">
        <v>5434324.0</v>
      </c>
      <c r="F105" s="6">
        <f t="shared" si="1"/>
        <v>16.77897473</v>
      </c>
      <c r="G105" s="5">
        <v>5732.0</v>
      </c>
      <c r="H105" s="6">
        <f t="shared" si="2"/>
        <v>105.4777006</v>
      </c>
      <c r="I105" s="7">
        <f t="shared" si="3"/>
        <v>67</v>
      </c>
      <c r="J105" s="6">
        <v>36.9</v>
      </c>
      <c r="K105" s="7">
        <f t="shared" si="4"/>
        <v>148</v>
      </c>
      <c r="L105" s="6">
        <v>139.3</v>
      </c>
      <c r="M105" s="5">
        <v>12046.0</v>
      </c>
      <c r="N105" s="6">
        <v>221.7</v>
      </c>
      <c r="O105" s="8">
        <v>44168.0</v>
      </c>
      <c r="P105" s="7">
        <f t="shared" si="5"/>
        <v>-5</v>
      </c>
      <c r="Q105" s="6">
        <v>29.01</v>
      </c>
      <c r="R105" s="6">
        <v>72.31</v>
      </c>
      <c r="S105" s="8">
        <v>44433.0</v>
      </c>
      <c r="T105" s="8">
        <v>44518.0</v>
      </c>
      <c r="U105" s="6">
        <v>39.7</v>
      </c>
      <c r="V105" s="5">
        <v>64800.057</v>
      </c>
    </row>
    <row r="106" ht="15.75" customHeight="1">
      <c r="A106" s="4" t="s">
        <v>248</v>
      </c>
      <c r="B106" s="4" t="s">
        <v>249</v>
      </c>
      <c r="C106" s="4" t="s">
        <v>52</v>
      </c>
      <c r="D106" s="5">
        <v>694.0</v>
      </c>
      <c r="E106" s="5">
        <v>1472237.0</v>
      </c>
      <c r="F106" s="6">
        <f t="shared" si="1"/>
        <v>2121.378963</v>
      </c>
      <c r="G106" s="5">
        <v>1536.0</v>
      </c>
      <c r="H106" s="6">
        <f t="shared" si="2"/>
        <v>104.3310282</v>
      </c>
      <c r="I106" s="7">
        <f t="shared" si="3"/>
        <v>68</v>
      </c>
      <c r="J106" s="6">
        <v>150.9</v>
      </c>
      <c r="K106" s="7">
        <f t="shared" si="4"/>
        <v>78</v>
      </c>
      <c r="L106" s="6">
        <v>202.5</v>
      </c>
      <c r="M106" s="5">
        <v>3811.0</v>
      </c>
      <c r="N106" s="6">
        <v>258.8</v>
      </c>
      <c r="O106" s="8">
        <v>44188.0</v>
      </c>
      <c r="P106" s="7">
        <f t="shared" si="5"/>
        <v>15</v>
      </c>
      <c r="Q106" s="6">
        <v>67.05</v>
      </c>
      <c r="R106" s="6">
        <v>80.01</v>
      </c>
      <c r="S106" s="8">
        <v>44342.0</v>
      </c>
      <c r="T106" s="8">
        <v>44394.0</v>
      </c>
      <c r="U106" s="6">
        <v>32.4</v>
      </c>
      <c r="V106" s="5">
        <v>43290.705</v>
      </c>
    </row>
    <row r="107" ht="15.75" customHeight="1">
      <c r="A107" s="4" t="s">
        <v>250</v>
      </c>
      <c r="B107" s="4" t="s">
        <v>251</v>
      </c>
      <c r="C107" s="4" t="s">
        <v>71</v>
      </c>
      <c r="D107" s="5">
        <v>751.0</v>
      </c>
      <c r="E107" s="5">
        <v>72758.0</v>
      </c>
      <c r="F107" s="6">
        <f t="shared" si="1"/>
        <v>96.88149134</v>
      </c>
      <c r="G107" s="5">
        <v>74.0</v>
      </c>
      <c r="H107" s="6">
        <f t="shared" si="2"/>
        <v>101.7070288</v>
      </c>
      <c r="I107" s="7" t="str">
        <f t="shared" si="3"/>
        <v/>
      </c>
      <c r="J107" s="6">
        <v>80.8</v>
      </c>
      <c r="K107" s="7" t="str">
        <f t="shared" si="4"/>
        <v/>
      </c>
      <c r="L107" s="6">
        <v>142.2</v>
      </c>
      <c r="M107" s="5">
        <v>95.0</v>
      </c>
      <c r="N107" s="6">
        <v>130.1</v>
      </c>
      <c r="O107" s="8">
        <v>44239.0</v>
      </c>
      <c r="P107" s="7">
        <f t="shared" si="5"/>
        <v>66</v>
      </c>
      <c r="Q107" s="6">
        <v>26.12</v>
      </c>
      <c r="R107" s="6">
        <v>37.96</v>
      </c>
      <c r="S107" s="8"/>
      <c r="T107" s="8"/>
      <c r="U107" s="6"/>
      <c r="V107" s="5">
        <v>9673.367</v>
      </c>
    </row>
    <row r="108" ht="15.75" customHeight="1">
      <c r="A108" s="4" t="s">
        <v>252</v>
      </c>
      <c r="B108" s="4" t="s">
        <v>253</v>
      </c>
      <c r="C108" s="4" t="s">
        <v>52</v>
      </c>
      <c r="D108" s="5">
        <v>309500.0</v>
      </c>
      <c r="E108" s="5">
        <v>4576300.0</v>
      </c>
      <c r="F108" s="6">
        <f t="shared" si="1"/>
        <v>14.78610662</v>
      </c>
      <c r="G108" s="5">
        <v>4628.0</v>
      </c>
      <c r="H108" s="6">
        <f t="shared" si="2"/>
        <v>101.1297336</v>
      </c>
      <c r="I108" s="7">
        <f t="shared" si="3"/>
        <v>69</v>
      </c>
      <c r="J108" s="6">
        <v>97.1</v>
      </c>
      <c r="K108" s="7">
        <f t="shared" si="4"/>
        <v>111</v>
      </c>
      <c r="L108" s="6">
        <v>97.0</v>
      </c>
      <c r="M108" s="5">
        <v>3192.0</v>
      </c>
      <c r="N108" s="6">
        <v>69.7</v>
      </c>
      <c r="O108" s="8">
        <v>44193.0</v>
      </c>
      <c r="P108" s="7">
        <f t="shared" si="5"/>
        <v>20</v>
      </c>
      <c r="Q108" s="6">
        <v>4.22</v>
      </c>
      <c r="R108" s="6">
        <v>63.42</v>
      </c>
      <c r="S108" s="8">
        <v>44480.0</v>
      </c>
      <c r="T108" s="8"/>
      <c r="U108" s="6">
        <v>30.7</v>
      </c>
      <c r="V108" s="5">
        <v>37960.709</v>
      </c>
    </row>
    <row r="109" ht="15.75" customHeight="1">
      <c r="A109" s="4" t="s">
        <v>254</v>
      </c>
      <c r="B109" s="4" t="s">
        <v>255</v>
      </c>
      <c r="C109" s="4" t="s">
        <v>52</v>
      </c>
      <c r="D109" s="5">
        <v>86600.0</v>
      </c>
      <c r="E109" s="5">
        <v>1.0358078E7</v>
      </c>
      <c r="F109" s="6">
        <f t="shared" si="1"/>
        <v>119.608291</v>
      </c>
      <c r="G109" s="5">
        <v>10353.0</v>
      </c>
      <c r="H109" s="6">
        <f t="shared" si="2"/>
        <v>99.95097546</v>
      </c>
      <c r="I109" s="7">
        <f t="shared" si="3"/>
        <v>70</v>
      </c>
      <c r="J109" s="6">
        <v>265.8</v>
      </c>
      <c r="K109" s="7">
        <f t="shared" si="4"/>
        <v>40</v>
      </c>
      <c r="L109" s="6">
        <v>317.3</v>
      </c>
      <c r="M109" s="5">
        <v>33335.0</v>
      </c>
      <c r="N109" s="6">
        <v>321.8</v>
      </c>
      <c r="O109" s="8">
        <v>44214.0</v>
      </c>
      <c r="P109" s="7">
        <f t="shared" si="5"/>
        <v>41</v>
      </c>
      <c r="Q109" s="6">
        <v>12.51</v>
      </c>
      <c r="R109" s="6">
        <v>45.15</v>
      </c>
      <c r="S109" s="8"/>
      <c r="T109" s="8"/>
      <c r="U109" s="6">
        <v>32.4</v>
      </c>
      <c r="V109" s="5">
        <v>15847.419</v>
      </c>
    </row>
    <row r="110" ht="15.75" customHeight="1">
      <c r="A110" s="4" t="s">
        <v>256</v>
      </c>
      <c r="B110" s="4" t="s">
        <v>257</v>
      </c>
      <c r="C110" s="4" t="s">
        <v>52</v>
      </c>
      <c r="D110" s="5">
        <v>2724900.0</v>
      </c>
      <c r="E110" s="5">
        <v>1.9397998E7</v>
      </c>
      <c r="F110" s="6">
        <f t="shared" si="1"/>
        <v>7.118792616</v>
      </c>
      <c r="G110" s="5">
        <v>19072.0</v>
      </c>
      <c r="H110" s="6">
        <f t="shared" si="2"/>
        <v>98.31942451</v>
      </c>
      <c r="I110" s="7">
        <f t="shared" si="3"/>
        <v>71</v>
      </c>
      <c r="J110" s="6">
        <v>421.8</v>
      </c>
      <c r="K110" s="7">
        <f t="shared" si="4"/>
        <v>22</v>
      </c>
      <c r="L110" s="6">
        <v>433.5</v>
      </c>
      <c r="M110" s="5">
        <v>80579.0</v>
      </c>
      <c r="N110" s="6">
        <v>415.4</v>
      </c>
      <c r="O110" s="8">
        <v>44228.0</v>
      </c>
      <c r="P110" s="7">
        <f t="shared" si="5"/>
        <v>55</v>
      </c>
      <c r="Q110" s="6">
        <v>10.31</v>
      </c>
      <c r="R110" s="6">
        <v>43.9</v>
      </c>
      <c r="S110" s="8">
        <v>44769.0</v>
      </c>
      <c r="T110" s="8"/>
      <c r="U110" s="6">
        <v>30.6</v>
      </c>
      <c r="V110" s="5">
        <v>24055.588</v>
      </c>
    </row>
    <row r="111" ht="15.75" customHeight="1">
      <c r="A111" s="4" t="s">
        <v>258</v>
      </c>
      <c r="B111" s="4" t="s">
        <v>259</v>
      </c>
      <c r="C111" s="4" t="s">
        <v>71</v>
      </c>
      <c r="D111" s="5">
        <v>261.0</v>
      </c>
      <c r="E111" s="5">
        <v>47681.0</v>
      </c>
      <c r="F111" s="6">
        <f t="shared" si="1"/>
        <v>182.6858238</v>
      </c>
      <c r="G111" s="5">
        <v>46.0</v>
      </c>
      <c r="H111" s="6">
        <f t="shared" si="2"/>
        <v>96.47448669</v>
      </c>
      <c r="I111" s="7" t="str">
        <f t="shared" si="3"/>
        <v/>
      </c>
      <c r="J111" s="6">
        <v>247.0</v>
      </c>
      <c r="K111" s="7" t="str">
        <f t="shared" si="4"/>
        <v/>
      </c>
      <c r="L111" s="6">
        <v>437.5</v>
      </c>
      <c r="M111" s="5">
        <v>221.0</v>
      </c>
      <c r="N111" s="6">
        <v>462.7</v>
      </c>
      <c r="O111" s="8">
        <v>44250.0</v>
      </c>
      <c r="P111" s="7">
        <f t="shared" si="5"/>
        <v>77</v>
      </c>
      <c r="Q111" s="6">
        <v>39.67</v>
      </c>
      <c r="R111" s="6">
        <v>53.73</v>
      </c>
      <c r="S111" s="8">
        <v>44491.0</v>
      </c>
      <c r="T111" s="8"/>
      <c r="U111" s="6"/>
      <c r="V111" s="5">
        <v>24654.385</v>
      </c>
    </row>
    <row r="112" ht="15.75" customHeight="1">
      <c r="A112" s="4" t="s">
        <v>260</v>
      </c>
      <c r="B112" s="4" t="s">
        <v>261</v>
      </c>
      <c r="C112" s="4" t="s">
        <v>126</v>
      </c>
      <c r="D112" s="5">
        <v>7741220.0</v>
      </c>
      <c r="E112" s="5">
        <v>2.617741E7</v>
      </c>
      <c r="F112" s="6">
        <f t="shared" si="1"/>
        <v>3.381561304</v>
      </c>
      <c r="G112" s="5">
        <v>25236.0</v>
      </c>
      <c r="H112" s="6">
        <f t="shared" si="2"/>
        <v>96.40373131</v>
      </c>
      <c r="I112" s="7">
        <f t="shared" si="3"/>
        <v>72</v>
      </c>
      <c r="J112" s="6">
        <v>5.9</v>
      </c>
      <c r="K112" s="7">
        <f t="shared" si="4"/>
        <v>156</v>
      </c>
      <c r="L112" s="6">
        <v>91.9</v>
      </c>
      <c r="M112" s="5">
        <v>42720.0</v>
      </c>
      <c r="N112" s="6">
        <v>163.2</v>
      </c>
      <c r="O112" s="8">
        <v>44248.0</v>
      </c>
      <c r="P112" s="7">
        <f t="shared" si="5"/>
        <v>75</v>
      </c>
      <c r="Q112" s="6">
        <v>6.24</v>
      </c>
      <c r="R112" s="6">
        <v>75.47</v>
      </c>
      <c r="S112" s="8">
        <v>44480.0</v>
      </c>
      <c r="T112" s="8">
        <v>44521.0</v>
      </c>
      <c r="U112" s="6">
        <v>37.9</v>
      </c>
      <c r="V112" s="5">
        <v>44648.71</v>
      </c>
    </row>
    <row r="113" ht="15.75" customHeight="1">
      <c r="A113" s="4" t="s">
        <v>262</v>
      </c>
      <c r="B113" s="4" t="s">
        <v>263</v>
      </c>
      <c r="C113" s="4" t="s">
        <v>126</v>
      </c>
      <c r="D113" s="5">
        <v>18274.0</v>
      </c>
      <c r="E113" s="5">
        <v>929769.0</v>
      </c>
      <c r="F113" s="6">
        <f t="shared" si="1"/>
        <v>50.87933676</v>
      </c>
      <c r="G113" s="5">
        <v>885.0</v>
      </c>
      <c r="H113" s="6">
        <f t="shared" si="2"/>
        <v>95.18493303</v>
      </c>
      <c r="I113" s="7" t="str">
        <f t="shared" si="3"/>
        <v/>
      </c>
      <c r="J113" s="6">
        <v>86.0</v>
      </c>
      <c r="K113" s="7" t="str">
        <f t="shared" si="4"/>
        <v/>
      </c>
      <c r="L113" s="6">
        <v>92.6</v>
      </c>
      <c r="M113" s="5">
        <v>563.0</v>
      </c>
      <c r="N113" s="6">
        <v>60.6</v>
      </c>
      <c r="O113" s="8">
        <v>44273.0</v>
      </c>
      <c r="P113" s="7">
        <f t="shared" si="5"/>
        <v>100</v>
      </c>
      <c r="Q113" s="6">
        <v>4.66</v>
      </c>
      <c r="R113" s="6">
        <v>65.13</v>
      </c>
      <c r="S113" s="8">
        <v>44481.0</v>
      </c>
      <c r="T113" s="8"/>
      <c r="U113" s="6">
        <v>28.6</v>
      </c>
      <c r="V113" s="5">
        <v>8702.975</v>
      </c>
    </row>
    <row r="114" ht="15.75" customHeight="1">
      <c r="A114" s="4" t="s">
        <v>264</v>
      </c>
      <c r="B114" s="4" t="s">
        <v>265</v>
      </c>
      <c r="C114" s="4" t="s">
        <v>129</v>
      </c>
      <c r="D114" s="5">
        <v>2510.0</v>
      </c>
      <c r="E114" s="5">
        <v>974062.0</v>
      </c>
      <c r="F114" s="6">
        <f t="shared" si="1"/>
        <v>388.07251</v>
      </c>
      <c r="G114" s="5">
        <v>921.0</v>
      </c>
      <c r="H114" s="6">
        <f t="shared" si="2"/>
        <v>94.55250282</v>
      </c>
      <c r="I114" s="7" t="str">
        <f t="shared" si="3"/>
        <v/>
      </c>
      <c r="J114" s="6">
        <v>226.1</v>
      </c>
      <c r="K114" s="7" t="str">
        <f t="shared" si="4"/>
        <v/>
      </c>
      <c r="L114" s="6">
        <v>462.3</v>
      </c>
      <c r="M114" s="5">
        <v>4755.0</v>
      </c>
      <c r="N114" s="6">
        <v>488.2</v>
      </c>
      <c r="O114" s="8"/>
      <c r="P114" s="7" t="str">
        <f t="shared" si="5"/>
        <v/>
      </c>
      <c r="Q114" s="6"/>
      <c r="R114" s="6"/>
      <c r="S114" s="8"/>
      <c r="T114" s="8"/>
      <c r="U114" s="6">
        <v>36.0</v>
      </c>
      <c r="V114" s="5"/>
    </row>
    <row r="115" ht="15.75" customHeight="1">
      <c r="A115" s="4" t="s">
        <v>266</v>
      </c>
      <c r="B115" s="4" t="s">
        <v>267</v>
      </c>
      <c r="C115" s="4" t="s">
        <v>129</v>
      </c>
      <c r="D115" s="5">
        <v>1759540.0</v>
      </c>
      <c r="E115" s="5">
        <v>6812344.0</v>
      </c>
      <c r="F115" s="6">
        <f t="shared" si="1"/>
        <v>3.871661912</v>
      </c>
      <c r="G115" s="5">
        <v>6437.0</v>
      </c>
      <c r="H115" s="6">
        <f t="shared" si="2"/>
        <v>94.49023713</v>
      </c>
      <c r="I115" s="7">
        <f t="shared" si="3"/>
        <v>73</v>
      </c>
      <c r="J115" s="6">
        <v>310.4</v>
      </c>
      <c r="K115" s="7">
        <f t="shared" si="4"/>
        <v>32</v>
      </c>
      <c r="L115" s="6">
        <v>425.5</v>
      </c>
      <c r="M115" s="5">
        <v>36255.0</v>
      </c>
      <c r="N115" s="6">
        <v>532.2</v>
      </c>
      <c r="O115" s="8">
        <v>44303.0</v>
      </c>
      <c r="P115" s="7">
        <f t="shared" si="5"/>
        <v>130</v>
      </c>
      <c r="Q115" s="6"/>
      <c r="R115" s="6">
        <v>12.12</v>
      </c>
      <c r="S115" s="8"/>
      <c r="T115" s="8"/>
      <c r="U115" s="6">
        <v>29.0</v>
      </c>
      <c r="V115" s="5">
        <v>17881.509</v>
      </c>
    </row>
    <row r="116" ht="15.75" customHeight="1">
      <c r="A116" s="4" t="s">
        <v>268</v>
      </c>
      <c r="B116" s="4" t="s">
        <v>269</v>
      </c>
      <c r="C116" s="4" t="s">
        <v>71</v>
      </c>
      <c r="D116" s="5">
        <v>430.0</v>
      </c>
      <c r="E116" s="5">
        <v>45726.0</v>
      </c>
      <c r="F116" s="6">
        <f t="shared" si="1"/>
        <v>106.3395349</v>
      </c>
      <c r="G116" s="5">
        <v>40.0</v>
      </c>
      <c r="H116" s="6">
        <f t="shared" si="2"/>
        <v>87.47758387</v>
      </c>
      <c r="I116" s="7" t="str">
        <f t="shared" si="3"/>
        <v/>
      </c>
      <c r="J116" s="6">
        <v>192.0</v>
      </c>
      <c r="K116" s="7" t="str">
        <f t="shared" si="4"/>
        <v/>
      </c>
      <c r="L116" s="6">
        <v>230.0</v>
      </c>
      <c r="M116" s="5">
        <v>115.0</v>
      </c>
      <c r="N116" s="6">
        <v>252.4</v>
      </c>
      <c r="O116" s="8">
        <v>44207.0</v>
      </c>
      <c r="P116" s="7">
        <f t="shared" si="5"/>
        <v>34</v>
      </c>
      <c r="Q116" s="6">
        <v>33.7</v>
      </c>
      <c r="R116" s="6">
        <v>59.34</v>
      </c>
      <c r="S116" s="8">
        <v>44421.0</v>
      </c>
      <c r="T116" s="8"/>
      <c r="U116" s="6"/>
      <c r="V116" s="5"/>
    </row>
    <row r="117" ht="15.75" customHeight="1">
      <c r="A117" s="4" t="s">
        <v>270</v>
      </c>
      <c r="B117" s="4" t="s">
        <v>271</v>
      </c>
      <c r="C117" s="4" t="s">
        <v>126</v>
      </c>
      <c r="D117" s="5">
        <v>464.0</v>
      </c>
      <c r="E117" s="5">
        <v>49574.0</v>
      </c>
      <c r="F117" s="6">
        <f t="shared" si="1"/>
        <v>106.8405172</v>
      </c>
      <c r="G117" s="5">
        <v>41.0</v>
      </c>
      <c r="H117" s="6">
        <f t="shared" si="2"/>
        <v>82.70464356</v>
      </c>
      <c r="I117" s="7" t="str">
        <f t="shared" si="3"/>
        <v/>
      </c>
      <c r="J117" s="6">
        <v>72.0</v>
      </c>
      <c r="K117" s="7" t="str">
        <f t="shared" si="4"/>
        <v/>
      </c>
      <c r="L117" s="6">
        <v>290.6</v>
      </c>
      <c r="M117" s="5">
        <v>208.0</v>
      </c>
      <c r="N117" s="6">
        <v>418.7</v>
      </c>
      <c r="O117" s="8"/>
      <c r="P117" s="7" t="str">
        <f t="shared" si="5"/>
        <v/>
      </c>
      <c r="Q117" s="6"/>
      <c r="R117" s="6"/>
      <c r="S117" s="8"/>
      <c r="T117" s="8"/>
      <c r="U117" s="6"/>
      <c r="V117" s="5"/>
    </row>
    <row r="118" ht="15.75" customHeight="1">
      <c r="A118" s="4" t="s">
        <v>272</v>
      </c>
      <c r="B118" s="4" t="s">
        <v>273</v>
      </c>
      <c r="C118" s="4" t="s">
        <v>126</v>
      </c>
      <c r="D118" s="5">
        <v>270534.0</v>
      </c>
      <c r="E118" s="5">
        <v>5185289.0</v>
      </c>
      <c r="F118" s="6">
        <f t="shared" si="1"/>
        <v>19.16686627</v>
      </c>
      <c r="G118" s="5">
        <v>4284.0</v>
      </c>
      <c r="H118" s="6">
        <f t="shared" si="2"/>
        <v>82.61834586</v>
      </c>
      <c r="I118" s="7">
        <f t="shared" si="3"/>
        <v>74</v>
      </c>
      <c r="J118" s="6">
        <v>-49.3</v>
      </c>
      <c r="K118" s="7">
        <f t="shared" si="4"/>
        <v>157</v>
      </c>
      <c r="L118" s="6">
        <v>-1.0</v>
      </c>
      <c r="M118" s="5">
        <v>994.0</v>
      </c>
      <c r="N118" s="6">
        <v>19.2</v>
      </c>
      <c r="O118" s="8">
        <v>44241.0</v>
      </c>
      <c r="P118" s="7">
        <f t="shared" si="5"/>
        <v>68</v>
      </c>
      <c r="Q118" s="6">
        <v>8.8</v>
      </c>
      <c r="R118" s="6">
        <v>74.37</v>
      </c>
      <c r="S118" s="8">
        <v>44483.0</v>
      </c>
      <c r="T118" s="8">
        <v>44531.0</v>
      </c>
      <c r="U118" s="6">
        <v>37.9</v>
      </c>
      <c r="V118" s="5">
        <v>36085.843</v>
      </c>
    </row>
    <row r="119" ht="15.75" customHeight="1">
      <c r="A119" s="4" t="s">
        <v>274</v>
      </c>
      <c r="B119" s="4" t="s">
        <v>275</v>
      </c>
      <c r="C119" s="4" t="s">
        <v>129</v>
      </c>
      <c r="D119" s="5">
        <v>2040.0</v>
      </c>
      <c r="E119" s="5">
        <v>1299478.0</v>
      </c>
      <c r="F119" s="6">
        <f t="shared" si="1"/>
        <v>636.9990196</v>
      </c>
      <c r="G119" s="5">
        <v>1073.0</v>
      </c>
      <c r="H119" s="6">
        <f t="shared" si="2"/>
        <v>82.57161722</v>
      </c>
      <c r="I119" s="7">
        <f t="shared" si="3"/>
        <v>75</v>
      </c>
      <c r="J119" s="6">
        <v>100.9</v>
      </c>
      <c r="K119" s="7">
        <f t="shared" si="4"/>
        <v>107</v>
      </c>
      <c r="L119" s="6">
        <v>168.3</v>
      </c>
      <c r="M119" s="5">
        <v>2604.0</v>
      </c>
      <c r="N119" s="6">
        <v>200.4</v>
      </c>
      <c r="O119" s="8">
        <v>44222.0</v>
      </c>
      <c r="P119" s="7">
        <f t="shared" si="5"/>
        <v>49</v>
      </c>
      <c r="Q119" s="6">
        <v>17.0</v>
      </c>
      <c r="R119" s="6">
        <v>70.02</v>
      </c>
      <c r="S119" s="8">
        <v>44427.0</v>
      </c>
      <c r="T119" s="8">
        <v>44558.0</v>
      </c>
      <c r="U119" s="6">
        <v>37.4</v>
      </c>
      <c r="V119" s="5">
        <v>20292.745</v>
      </c>
    </row>
    <row r="120" ht="15.75" customHeight="1">
      <c r="A120" s="4" t="s">
        <v>276</v>
      </c>
      <c r="B120" s="4" t="s">
        <v>277</v>
      </c>
      <c r="C120" s="4" t="s">
        <v>126</v>
      </c>
      <c r="D120" s="5">
        <v>200.0</v>
      </c>
      <c r="E120" s="5">
        <v>11596.0</v>
      </c>
      <c r="F120" s="6">
        <f t="shared" si="1"/>
        <v>57.98</v>
      </c>
      <c r="G120" s="5">
        <v>9.0</v>
      </c>
      <c r="H120" s="6">
        <f t="shared" si="2"/>
        <v>77.61296999</v>
      </c>
      <c r="I120" s="7" t="str">
        <f t="shared" si="3"/>
        <v/>
      </c>
      <c r="J120" s="6">
        <v>53.3</v>
      </c>
      <c r="K120" s="7" t="str">
        <f t="shared" si="4"/>
        <v/>
      </c>
      <c r="L120" s="6">
        <v>58.6</v>
      </c>
      <c r="M120" s="5">
        <v>7.0</v>
      </c>
      <c r="N120" s="6">
        <v>56.6</v>
      </c>
      <c r="O120" s="8">
        <v>44278.0</v>
      </c>
      <c r="P120" s="7">
        <f t="shared" si="5"/>
        <v>105</v>
      </c>
      <c r="Q120" s="6">
        <v>37.67</v>
      </c>
      <c r="R120" s="6">
        <v>51.08</v>
      </c>
      <c r="S120" s="8">
        <v>44508.0</v>
      </c>
      <c r="T120" s="8"/>
      <c r="U120" s="6"/>
      <c r="V120" s="5"/>
    </row>
    <row r="121" ht="15.75" customHeight="1">
      <c r="A121" s="4" t="s">
        <v>278</v>
      </c>
      <c r="B121" s="4" t="s">
        <v>279</v>
      </c>
      <c r="C121" s="4" t="s">
        <v>52</v>
      </c>
      <c r="D121" s="5">
        <v>65610.0</v>
      </c>
      <c r="E121" s="5">
        <v>2.183215E7</v>
      </c>
      <c r="F121" s="6">
        <f t="shared" si="1"/>
        <v>332.7564396</v>
      </c>
      <c r="G121" s="5">
        <v>16907.0</v>
      </c>
      <c r="H121" s="6">
        <f t="shared" si="2"/>
        <v>77.4408384</v>
      </c>
      <c r="I121" s="7">
        <f t="shared" si="3"/>
        <v>76</v>
      </c>
      <c r="J121" s="6">
        <v>182.7</v>
      </c>
      <c r="K121" s="7">
        <f t="shared" si="4"/>
        <v>69</v>
      </c>
      <c r="L121" s="6">
        <v>231.9</v>
      </c>
      <c r="M121" s="5">
        <v>65271.0</v>
      </c>
      <c r="N121" s="6">
        <v>299.0</v>
      </c>
      <c r="O121" s="8">
        <v>44225.0</v>
      </c>
      <c r="P121" s="7">
        <f t="shared" si="5"/>
        <v>52</v>
      </c>
      <c r="Q121" s="6">
        <v>4.56</v>
      </c>
      <c r="R121" s="6">
        <v>63.41</v>
      </c>
      <c r="S121" s="8">
        <v>44457.0</v>
      </c>
      <c r="T121" s="8"/>
      <c r="U121" s="6">
        <v>34.1</v>
      </c>
      <c r="V121" s="5">
        <v>11669.077</v>
      </c>
    </row>
    <row r="122" ht="15.75" customHeight="1">
      <c r="A122" s="4" t="s">
        <v>280</v>
      </c>
      <c r="B122" s="4" t="s">
        <v>281</v>
      </c>
      <c r="C122" s="4" t="s">
        <v>126</v>
      </c>
      <c r="D122" s="5">
        <v>199.0</v>
      </c>
      <c r="E122" s="5">
        <v>44295.0</v>
      </c>
      <c r="F122" s="6">
        <f t="shared" si="1"/>
        <v>222.5879397</v>
      </c>
      <c r="G122" s="5">
        <v>34.0</v>
      </c>
      <c r="H122" s="6">
        <f t="shared" si="2"/>
        <v>76.75809911</v>
      </c>
      <c r="I122" s="7" t="str">
        <f t="shared" si="3"/>
        <v/>
      </c>
      <c r="J122" s="6">
        <v>40.4</v>
      </c>
      <c r="K122" s="7" t="str">
        <f t="shared" si="4"/>
        <v/>
      </c>
      <c r="L122" s="6">
        <v>168.6</v>
      </c>
      <c r="M122" s="5">
        <v>78.0</v>
      </c>
      <c r="N122" s="6">
        <v>176.7</v>
      </c>
      <c r="O122" s="8"/>
      <c r="P122" s="7" t="str">
        <f t="shared" si="5"/>
        <v/>
      </c>
      <c r="Q122" s="6"/>
      <c r="R122" s="6"/>
      <c r="S122" s="8"/>
      <c r="T122" s="8"/>
      <c r="U122" s="6"/>
      <c r="V122" s="5"/>
    </row>
    <row r="123" ht="15.75" customHeight="1">
      <c r="A123" s="4" t="s">
        <v>282</v>
      </c>
      <c r="B123" s="4" t="s">
        <v>283</v>
      </c>
      <c r="C123" s="4" t="s">
        <v>71</v>
      </c>
      <c r="D123" s="5">
        <v>110861.0</v>
      </c>
      <c r="E123" s="5">
        <v>1.1212198E7</v>
      </c>
      <c r="F123" s="6">
        <f t="shared" si="1"/>
        <v>101.1374424</v>
      </c>
      <c r="G123" s="5">
        <v>8530.0</v>
      </c>
      <c r="H123" s="6">
        <f t="shared" si="2"/>
        <v>76.07785735</v>
      </c>
      <c r="I123" s="7">
        <f t="shared" si="3"/>
        <v>77</v>
      </c>
      <c r="J123" s="6">
        <v>484.6</v>
      </c>
      <c r="K123" s="7">
        <f t="shared" si="4"/>
        <v>14</v>
      </c>
      <c r="L123" s="6">
        <v>516.0</v>
      </c>
      <c r="M123" s="5">
        <v>62448.0</v>
      </c>
      <c r="N123" s="6">
        <v>557.0</v>
      </c>
      <c r="O123" s="8">
        <v>44328.0</v>
      </c>
      <c r="P123" s="7">
        <f t="shared" si="5"/>
        <v>155</v>
      </c>
      <c r="Q123" s="6">
        <v>11.17</v>
      </c>
      <c r="R123" s="6">
        <v>86.27</v>
      </c>
      <c r="S123" s="8">
        <v>44475.0</v>
      </c>
      <c r="T123" s="8">
        <v>44509.0</v>
      </c>
      <c r="U123" s="6">
        <v>43.1</v>
      </c>
      <c r="V123" s="5"/>
    </row>
    <row r="124" ht="15.75" customHeight="1">
      <c r="A124" s="4" t="s">
        <v>284</v>
      </c>
      <c r="B124" s="4" t="s">
        <v>285</v>
      </c>
      <c r="C124" s="4" t="s">
        <v>71</v>
      </c>
      <c r="D124" s="5">
        <v>96.0</v>
      </c>
      <c r="E124" s="5">
        <v>15877.0</v>
      </c>
      <c r="F124" s="6">
        <f t="shared" si="1"/>
        <v>165.3854167</v>
      </c>
      <c r="G124" s="5">
        <v>12.0</v>
      </c>
      <c r="H124" s="6">
        <f t="shared" si="2"/>
        <v>75.58102916</v>
      </c>
      <c r="I124" s="7" t="str">
        <f t="shared" si="3"/>
        <v/>
      </c>
      <c r="J124" s="6">
        <v>171.3</v>
      </c>
      <c r="K124" s="7" t="str">
        <f t="shared" si="4"/>
        <v/>
      </c>
      <c r="L124" s="6">
        <v>311.5</v>
      </c>
      <c r="M124" s="5">
        <v>52.0</v>
      </c>
      <c r="N124" s="6">
        <v>326.6</v>
      </c>
      <c r="O124" s="8">
        <v>44232.0</v>
      </c>
      <c r="P124" s="7">
        <f t="shared" si="5"/>
        <v>59</v>
      </c>
      <c r="Q124" s="6">
        <v>41.1</v>
      </c>
      <c r="R124" s="6">
        <v>58.09</v>
      </c>
      <c r="S124" s="8">
        <v>44393.0</v>
      </c>
      <c r="T124" s="8"/>
      <c r="U124" s="6"/>
      <c r="V124" s="5"/>
    </row>
    <row r="125" ht="15.75" customHeight="1">
      <c r="A125" s="4" t="s">
        <v>286</v>
      </c>
      <c r="B125" s="4" t="s">
        <v>287</v>
      </c>
      <c r="C125" s="4" t="s">
        <v>39</v>
      </c>
      <c r="D125" s="5">
        <v>207600.0</v>
      </c>
      <c r="E125" s="5">
        <v>9534956.0</v>
      </c>
      <c r="F125" s="6">
        <f t="shared" si="1"/>
        <v>45.9294605</v>
      </c>
      <c r="G125" s="5">
        <v>7118.0</v>
      </c>
      <c r="H125" s="6">
        <f t="shared" si="2"/>
        <v>74.65162923</v>
      </c>
      <c r="I125" s="7">
        <f t="shared" si="3"/>
        <v>78</v>
      </c>
      <c r="J125" s="6">
        <v>651.6</v>
      </c>
      <c r="K125" s="7">
        <f t="shared" si="4"/>
        <v>6</v>
      </c>
      <c r="L125" s="6">
        <v>812.8</v>
      </c>
      <c r="M125" s="5">
        <v>81270.0</v>
      </c>
      <c r="N125" s="6">
        <v>852.3</v>
      </c>
      <c r="O125" s="8">
        <v>44194.0</v>
      </c>
      <c r="P125" s="7">
        <f t="shared" si="5"/>
        <v>21</v>
      </c>
      <c r="Q125" s="6">
        <v>3.9</v>
      </c>
      <c r="R125" s="6">
        <v>33.86</v>
      </c>
      <c r="S125" s="8">
        <v>44626.0</v>
      </c>
      <c r="T125" s="8"/>
      <c r="U125" s="6">
        <v>40.3</v>
      </c>
      <c r="V125" s="5">
        <v>17167.967</v>
      </c>
    </row>
    <row r="126" ht="15.75" customHeight="1">
      <c r="A126" s="4" t="s">
        <v>288</v>
      </c>
      <c r="B126" s="4" t="s">
        <v>289</v>
      </c>
      <c r="C126" s="4" t="s">
        <v>129</v>
      </c>
      <c r="D126" s="5">
        <v>4033.0</v>
      </c>
      <c r="E126" s="5">
        <v>593162.0</v>
      </c>
      <c r="F126" s="6">
        <f t="shared" si="1"/>
        <v>147.0771138</v>
      </c>
      <c r="G126" s="5">
        <v>417.0</v>
      </c>
      <c r="H126" s="6">
        <f t="shared" si="2"/>
        <v>70.30119934</v>
      </c>
      <c r="I126" s="7" t="str">
        <f t="shared" si="3"/>
        <v/>
      </c>
      <c r="J126" s="6">
        <v>95.9</v>
      </c>
      <c r="K126" s="7" t="str">
        <f t="shared" si="4"/>
        <v/>
      </c>
      <c r="L126" s="6">
        <v>146.9</v>
      </c>
      <c r="M126" s="5">
        <v>1126.0</v>
      </c>
      <c r="N126" s="6">
        <v>189.9</v>
      </c>
      <c r="O126" s="8">
        <v>44274.0</v>
      </c>
      <c r="P126" s="7">
        <f t="shared" si="5"/>
        <v>101</v>
      </c>
      <c r="Q126" s="6">
        <v>1.02</v>
      </c>
      <c r="R126" s="6">
        <v>43.15</v>
      </c>
      <c r="S126" s="8">
        <v>44618.0</v>
      </c>
      <c r="T126" s="8"/>
      <c r="U126" s="6">
        <v>25.7</v>
      </c>
      <c r="V126" s="5">
        <v>6222.554</v>
      </c>
    </row>
    <row r="127" ht="15.75" customHeight="1">
      <c r="A127" s="4" t="s">
        <v>290</v>
      </c>
      <c r="B127" s="4" t="s">
        <v>291</v>
      </c>
      <c r="C127" s="4" t="s">
        <v>52</v>
      </c>
      <c r="D127" s="5">
        <v>99434.0</v>
      </c>
      <c r="E127" s="5">
        <v>5.1815808E7</v>
      </c>
      <c r="F127" s="6">
        <f t="shared" si="1"/>
        <v>521.1075487</v>
      </c>
      <c r="G127" s="5">
        <v>35934.0</v>
      </c>
      <c r="H127" s="6">
        <f t="shared" si="2"/>
        <v>69.34949273</v>
      </c>
      <c r="I127" s="7">
        <f t="shared" si="3"/>
        <v>79</v>
      </c>
      <c r="J127" s="6">
        <v>14.6</v>
      </c>
      <c r="K127" s="7">
        <f t="shared" si="4"/>
        <v>154</v>
      </c>
      <c r="L127" s="6">
        <v>124.6</v>
      </c>
      <c r="M127" s="5">
        <v>98684.0</v>
      </c>
      <c r="N127" s="6">
        <v>190.5</v>
      </c>
      <c r="O127" s="8">
        <v>44253.0</v>
      </c>
      <c r="P127" s="7">
        <f t="shared" si="5"/>
        <v>80</v>
      </c>
      <c r="Q127" s="6">
        <v>9.69</v>
      </c>
      <c r="R127" s="6">
        <v>81.67</v>
      </c>
      <c r="S127" s="8">
        <v>44470.0</v>
      </c>
      <c r="T127" s="8">
        <v>44494.0</v>
      </c>
      <c r="U127" s="6">
        <v>43.4</v>
      </c>
      <c r="V127" s="5">
        <v>35938.374</v>
      </c>
    </row>
    <row r="128" ht="15.75" customHeight="1">
      <c r="A128" s="4" t="s">
        <v>292</v>
      </c>
      <c r="B128" s="4" t="s">
        <v>293</v>
      </c>
      <c r="C128" s="4" t="s">
        <v>71</v>
      </c>
      <c r="D128" s="5">
        <v>21041.0</v>
      </c>
      <c r="E128" s="5">
        <v>6336393.0</v>
      </c>
      <c r="F128" s="6">
        <f t="shared" si="1"/>
        <v>301.1450501</v>
      </c>
      <c r="G128" s="5">
        <v>4230.0</v>
      </c>
      <c r="H128" s="6">
        <f t="shared" si="2"/>
        <v>66.75722292</v>
      </c>
      <c r="I128" s="7">
        <f t="shared" si="3"/>
        <v>80</v>
      </c>
      <c r="J128" s="6">
        <v>318.2</v>
      </c>
      <c r="K128" s="7">
        <f t="shared" si="4"/>
        <v>29</v>
      </c>
      <c r="L128" s="6">
        <v>367.1</v>
      </c>
      <c r="M128" s="5">
        <v>23052.0</v>
      </c>
      <c r="N128" s="6">
        <v>363.8</v>
      </c>
      <c r="O128" s="8">
        <v>44245.0</v>
      </c>
      <c r="P128" s="7">
        <f t="shared" si="5"/>
        <v>72</v>
      </c>
      <c r="Q128" s="6">
        <v>17.19</v>
      </c>
      <c r="R128" s="6">
        <v>65.6</v>
      </c>
      <c r="S128" s="8">
        <v>44455.0</v>
      </c>
      <c r="T128" s="8"/>
      <c r="U128" s="6">
        <v>27.6</v>
      </c>
      <c r="V128" s="5">
        <v>7292.458</v>
      </c>
    </row>
    <row r="129" ht="15.75" customHeight="1">
      <c r="A129" s="4" t="s">
        <v>294</v>
      </c>
      <c r="B129" s="4" t="s">
        <v>295</v>
      </c>
      <c r="C129" s="4" t="s">
        <v>52</v>
      </c>
      <c r="D129" s="5">
        <v>1566500.0</v>
      </c>
      <c r="E129" s="5">
        <v>3398373.0</v>
      </c>
      <c r="F129" s="6">
        <f t="shared" si="1"/>
        <v>2.169405043</v>
      </c>
      <c r="G129" s="5">
        <v>2136.0</v>
      </c>
      <c r="H129" s="6">
        <f t="shared" si="2"/>
        <v>62.85360671</v>
      </c>
      <c r="I129" s="7">
        <f t="shared" si="3"/>
        <v>81</v>
      </c>
      <c r="J129" s="6">
        <v>32.6</v>
      </c>
      <c r="K129" s="7">
        <f t="shared" si="4"/>
        <v>151</v>
      </c>
      <c r="L129" s="6">
        <v>40.6</v>
      </c>
      <c r="M129" s="5">
        <v>528.0</v>
      </c>
      <c r="N129" s="6">
        <v>15.5</v>
      </c>
      <c r="O129" s="8">
        <v>44250.0</v>
      </c>
      <c r="P129" s="7">
        <f t="shared" si="5"/>
        <v>77</v>
      </c>
      <c r="Q129" s="6">
        <v>51.38</v>
      </c>
      <c r="R129" s="6">
        <v>63.66</v>
      </c>
      <c r="S129" s="8">
        <v>44369.0</v>
      </c>
      <c r="T129" s="8"/>
      <c r="U129" s="6">
        <v>28.6</v>
      </c>
      <c r="V129" s="5">
        <v>11840.846</v>
      </c>
    </row>
    <row r="130" ht="15.75" customHeight="1">
      <c r="A130" s="4" t="s">
        <v>296</v>
      </c>
      <c r="B130" s="4" t="s">
        <v>297</v>
      </c>
      <c r="C130" s="4" t="s">
        <v>52</v>
      </c>
      <c r="D130" s="5">
        <v>298.0</v>
      </c>
      <c r="E130" s="5">
        <v>523798.0</v>
      </c>
      <c r="F130" s="6">
        <f t="shared" si="1"/>
        <v>1757.711409</v>
      </c>
      <c r="G130" s="5">
        <v>316.0</v>
      </c>
      <c r="H130" s="6">
        <f t="shared" si="2"/>
        <v>60.32859996</v>
      </c>
      <c r="I130" s="7" t="str">
        <f t="shared" si="3"/>
        <v/>
      </c>
      <c r="J130" s="6">
        <v>105.1</v>
      </c>
      <c r="K130" s="7" t="str">
        <f t="shared" si="4"/>
        <v/>
      </c>
      <c r="L130" s="6">
        <v>141.4</v>
      </c>
      <c r="M130" s="5">
        <v>807.0</v>
      </c>
      <c r="N130" s="6">
        <v>154.0</v>
      </c>
      <c r="O130" s="8">
        <v>44229.0</v>
      </c>
      <c r="P130" s="7">
        <f t="shared" si="5"/>
        <v>56</v>
      </c>
      <c r="Q130" s="6">
        <v>36.41</v>
      </c>
      <c r="R130" s="6">
        <v>70.15</v>
      </c>
      <c r="S130" s="8">
        <v>44404.0</v>
      </c>
      <c r="T130" s="8">
        <v>44552.0</v>
      </c>
      <c r="U130" s="6">
        <v>30.6</v>
      </c>
      <c r="V130" s="5">
        <v>15183.616</v>
      </c>
    </row>
    <row r="131" ht="15.75" customHeight="1">
      <c r="A131" s="4" t="s">
        <v>298</v>
      </c>
      <c r="B131" s="4" t="s">
        <v>299</v>
      </c>
      <c r="C131" s="4" t="s">
        <v>52</v>
      </c>
      <c r="D131" s="5">
        <v>377829.0</v>
      </c>
      <c r="E131" s="5">
        <v>1.23951696E8</v>
      </c>
      <c r="F131" s="6">
        <f t="shared" si="1"/>
        <v>328.0629491</v>
      </c>
      <c r="G131" s="5">
        <v>74694.0</v>
      </c>
      <c r="H131" s="6">
        <f t="shared" si="2"/>
        <v>60.26057118</v>
      </c>
      <c r="I131" s="7">
        <f t="shared" si="3"/>
        <v>82</v>
      </c>
      <c r="J131" s="6">
        <v>12.6</v>
      </c>
      <c r="K131" s="7">
        <f t="shared" si="4"/>
        <v>155</v>
      </c>
      <c r="L131" s="6">
        <v>123.9</v>
      </c>
      <c r="M131" s="5">
        <v>343047.0</v>
      </c>
      <c r="N131" s="6">
        <v>276.8</v>
      </c>
      <c r="O131" s="8">
        <v>44244.0</v>
      </c>
      <c r="P131" s="7">
        <f t="shared" si="5"/>
        <v>71</v>
      </c>
      <c r="Q131" s="6">
        <v>14.79</v>
      </c>
      <c r="R131" s="6">
        <v>80.44</v>
      </c>
      <c r="S131" s="8">
        <v>44441.0</v>
      </c>
      <c r="T131" s="8">
        <v>44485.0</v>
      </c>
      <c r="U131" s="6">
        <v>48.2</v>
      </c>
      <c r="V131" s="5">
        <v>39002.223</v>
      </c>
    </row>
    <row r="132" ht="15.75" customHeight="1">
      <c r="A132" s="4" t="s">
        <v>300</v>
      </c>
      <c r="B132" s="4" t="s">
        <v>301</v>
      </c>
      <c r="C132" s="4" t="s">
        <v>52</v>
      </c>
      <c r="D132" s="5">
        <v>17818.0</v>
      </c>
      <c r="E132" s="5">
        <v>4268886.0</v>
      </c>
      <c r="F132" s="6">
        <f t="shared" si="1"/>
        <v>239.5827815</v>
      </c>
      <c r="G132" s="5">
        <v>2570.0</v>
      </c>
      <c r="H132" s="6">
        <f t="shared" si="2"/>
        <v>60.20306</v>
      </c>
      <c r="I132" s="7">
        <f t="shared" si="3"/>
        <v>83</v>
      </c>
      <c r="J132" s="6">
        <v>161.1</v>
      </c>
      <c r="K132" s="7">
        <f t="shared" si="4"/>
        <v>74</v>
      </c>
      <c r="L132" s="6">
        <v>171.3</v>
      </c>
      <c r="M132" s="5">
        <v>7847.0</v>
      </c>
      <c r="N132" s="6">
        <v>183.8</v>
      </c>
      <c r="O132" s="8">
        <v>44193.0</v>
      </c>
      <c r="P132" s="7">
        <f t="shared" si="5"/>
        <v>20</v>
      </c>
      <c r="Q132" s="6">
        <v>0.89</v>
      </c>
      <c r="R132" s="6">
        <v>75.35</v>
      </c>
      <c r="S132" s="8">
        <v>44530.0</v>
      </c>
      <c r="T132" s="8">
        <v>44530.0</v>
      </c>
      <c r="U132" s="6">
        <v>33.7</v>
      </c>
      <c r="V132" s="5">
        <v>65530.537</v>
      </c>
    </row>
    <row r="133" ht="15.75" customHeight="1">
      <c r="A133" s="4" t="s">
        <v>302</v>
      </c>
      <c r="B133" s="4" t="s">
        <v>303</v>
      </c>
      <c r="C133" s="4" t="s">
        <v>52</v>
      </c>
      <c r="D133" s="5">
        <v>1904569.0</v>
      </c>
      <c r="E133" s="5">
        <v>2.75501344E8</v>
      </c>
      <c r="F133" s="6">
        <f t="shared" si="1"/>
        <v>144.6528553</v>
      </c>
      <c r="G133" s="5">
        <v>162059.0</v>
      </c>
      <c r="H133" s="6">
        <f t="shared" si="2"/>
        <v>58.8233065</v>
      </c>
      <c r="I133" s="7">
        <f t="shared" si="3"/>
        <v>84</v>
      </c>
      <c r="J133" s="6">
        <v>194.1</v>
      </c>
      <c r="K133" s="7">
        <f t="shared" si="4"/>
        <v>64</v>
      </c>
      <c r="L133" s="6">
        <v>253.2</v>
      </c>
      <c r="M133" s="5">
        <v>838061.0</v>
      </c>
      <c r="N133" s="6">
        <v>304.2</v>
      </c>
      <c r="O133" s="8">
        <v>44209.0</v>
      </c>
      <c r="P133" s="7">
        <f t="shared" si="5"/>
        <v>36</v>
      </c>
      <c r="Q133" s="6">
        <v>4.89</v>
      </c>
      <c r="R133" s="6">
        <v>41.26</v>
      </c>
      <c r="S133" s="8">
        <v>44609.0</v>
      </c>
      <c r="T133" s="8"/>
      <c r="U133" s="6">
        <v>29.3</v>
      </c>
      <c r="V133" s="5">
        <v>11188.744</v>
      </c>
    </row>
    <row r="134" ht="15.75" customHeight="1">
      <c r="A134" s="4" t="s">
        <v>304</v>
      </c>
      <c r="B134" s="4" t="s">
        <v>305</v>
      </c>
      <c r="C134" s="4" t="s">
        <v>52</v>
      </c>
      <c r="D134" s="5">
        <v>300000.0</v>
      </c>
      <c r="E134" s="5">
        <v>1.15559008E8</v>
      </c>
      <c r="F134" s="6">
        <f t="shared" si="1"/>
        <v>385.1966933</v>
      </c>
      <c r="G134" s="5">
        <v>66864.0</v>
      </c>
      <c r="H134" s="6">
        <f t="shared" si="2"/>
        <v>57.8613482</v>
      </c>
      <c r="I134" s="7">
        <f t="shared" si="3"/>
        <v>85</v>
      </c>
      <c r="J134" s="6">
        <v>205.0</v>
      </c>
      <c r="K134" s="7">
        <f t="shared" si="4"/>
        <v>59</v>
      </c>
      <c r="L134" s="6">
        <v>237.0</v>
      </c>
      <c r="M134" s="5">
        <v>318626.0</v>
      </c>
      <c r="N134" s="6">
        <v>275.7</v>
      </c>
      <c r="O134" s="8">
        <v>44256.0</v>
      </c>
      <c r="P134" s="7">
        <f t="shared" si="5"/>
        <v>83</v>
      </c>
      <c r="Q134" s="6">
        <v>2.28</v>
      </c>
      <c r="R134" s="6">
        <v>42.94</v>
      </c>
      <c r="S134" s="8">
        <v>44586.0</v>
      </c>
      <c r="T134" s="8"/>
      <c r="U134" s="6">
        <v>25.2</v>
      </c>
      <c r="V134" s="5">
        <v>7599.188</v>
      </c>
    </row>
    <row r="135" ht="15.75" customHeight="1">
      <c r="A135" s="4" t="s">
        <v>306</v>
      </c>
      <c r="B135" s="4" t="s">
        <v>307</v>
      </c>
      <c r="C135" s="4" t="s">
        <v>129</v>
      </c>
      <c r="D135" s="5">
        <v>373.0</v>
      </c>
      <c r="E135" s="5">
        <v>326113.0</v>
      </c>
      <c r="F135" s="6">
        <f t="shared" si="1"/>
        <v>874.2975871</v>
      </c>
      <c r="G135" s="5">
        <v>187.0</v>
      </c>
      <c r="H135" s="6">
        <f t="shared" si="2"/>
        <v>57.34208695</v>
      </c>
      <c r="I135" s="7" t="str">
        <f t="shared" si="3"/>
        <v/>
      </c>
      <c r="J135" s="6">
        <v>242.9</v>
      </c>
      <c r="K135" s="7" t="str">
        <f t="shared" si="4"/>
        <v/>
      </c>
      <c r="L135" s="6">
        <v>279.9</v>
      </c>
      <c r="M135" s="5">
        <v>985.0</v>
      </c>
      <c r="N135" s="6">
        <v>302.2</v>
      </c>
      <c r="O135" s="8"/>
      <c r="P135" s="7" t="str">
        <f t="shared" si="5"/>
        <v/>
      </c>
      <c r="Q135" s="6"/>
      <c r="R135" s="6"/>
      <c r="S135" s="8"/>
      <c r="T135" s="8"/>
      <c r="U135" s="6">
        <v>20.1</v>
      </c>
      <c r="V135" s="5"/>
    </row>
    <row r="136" ht="15.75" customHeight="1">
      <c r="A136" s="4" t="s">
        <v>308</v>
      </c>
      <c r="B136" s="4" t="s">
        <v>309</v>
      </c>
      <c r="C136" s="4" t="s">
        <v>52</v>
      </c>
      <c r="D136" s="5">
        <v>438317.0</v>
      </c>
      <c r="E136" s="5">
        <v>4.4496124E7</v>
      </c>
      <c r="F136" s="6">
        <f t="shared" si="1"/>
        <v>101.5158527</v>
      </c>
      <c r="G136" s="5">
        <v>25375.0</v>
      </c>
      <c r="H136" s="6">
        <f t="shared" si="2"/>
        <v>57.02743906</v>
      </c>
      <c r="I136" s="7">
        <f t="shared" si="3"/>
        <v>86</v>
      </c>
      <c r="J136" s="6">
        <v>264.7</v>
      </c>
      <c r="K136" s="7">
        <f t="shared" si="4"/>
        <v>41</v>
      </c>
      <c r="L136" s="6">
        <v>306.2</v>
      </c>
      <c r="M136" s="5">
        <v>145138.0</v>
      </c>
      <c r="N136" s="6">
        <v>326.2</v>
      </c>
      <c r="O136" s="8">
        <v>44257.0</v>
      </c>
      <c r="P136" s="7">
        <f t="shared" si="5"/>
        <v>84</v>
      </c>
      <c r="Q136" s="6">
        <v>0.58</v>
      </c>
      <c r="R136" s="6">
        <v>12.67</v>
      </c>
      <c r="S136" s="8"/>
      <c r="T136" s="8"/>
      <c r="U136" s="6">
        <v>20.0</v>
      </c>
      <c r="V136" s="5">
        <v>15663.986</v>
      </c>
    </row>
    <row r="137" ht="15.75" customHeight="1">
      <c r="A137" s="4" t="s">
        <v>310</v>
      </c>
      <c r="B137" s="4" t="s">
        <v>311</v>
      </c>
      <c r="C137" s="4" t="s">
        <v>126</v>
      </c>
      <c r="D137" s="5">
        <v>702.0</v>
      </c>
      <c r="E137" s="5">
        <v>114178.0</v>
      </c>
      <c r="F137" s="6">
        <f t="shared" si="1"/>
        <v>162.6467236</v>
      </c>
      <c r="G137" s="5">
        <v>65.0</v>
      </c>
      <c r="H137" s="6">
        <f t="shared" si="2"/>
        <v>56.92865526</v>
      </c>
      <c r="I137" s="7" t="str">
        <f t="shared" si="3"/>
        <v/>
      </c>
      <c r="J137" s="6">
        <v>73.7</v>
      </c>
      <c r="K137" s="7" t="str">
        <f t="shared" si="4"/>
        <v/>
      </c>
      <c r="L137" s="6">
        <v>190.1</v>
      </c>
      <c r="M137" s="5">
        <v>297.0</v>
      </c>
      <c r="N137" s="6">
        <v>260.0</v>
      </c>
      <c r="O137" s="8"/>
      <c r="P137" s="7" t="str">
        <f t="shared" si="5"/>
        <v/>
      </c>
      <c r="Q137" s="6"/>
      <c r="R137" s="6"/>
      <c r="S137" s="8"/>
      <c r="T137" s="8"/>
      <c r="U137" s="6">
        <v>23.0</v>
      </c>
      <c r="V137" s="5">
        <v>3299.464</v>
      </c>
    </row>
    <row r="138" ht="15.75" customHeight="1">
      <c r="A138" s="4" t="s">
        <v>312</v>
      </c>
      <c r="B138" s="4" t="s">
        <v>313</v>
      </c>
      <c r="C138" s="4" t="s">
        <v>126</v>
      </c>
      <c r="D138" s="5">
        <v>459.0</v>
      </c>
      <c r="E138" s="5">
        <v>18084.0</v>
      </c>
      <c r="F138" s="6">
        <f t="shared" si="1"/>
        <v>39.39869281</v>
      </c>
      <c r="G138" s="5">
        <v>10.0</v>
      </c>
      <c r="H138" s="6">
        <f t="shared" si="2"/>
        <v>55.29750055</v>
      </c>
      <c r="I138" s="7" t="str">
        <f t="shared" si="3"/>
        <v/>
      </c>
      <c r="J138" s="6">
        <v>-23.9</v>
      </c>
      <c r="K138" s="7" t="str">
        <f t="shared" si="4"/>
        <v/>
      </c>
      <c r="L138" s="6">
        <v>12.7</v>
      </c>
      <c r="M138" s="5">
        <v>-3.0</v>
      </c>
      <c r="N138" s="6">
        <v>-17.5</v>
      </c>
      <c r="O138" s="8"/>
      <c r="P138" s="7" t="str">
        <f t="shared" si="5"/>
        <v/>
      </c>
      <c r="Q138" s="6"/>
      <c r="R138" s="6"/>
      <c r="S138" s="8"/>
      <c r="T138" s="8"/>
      <c r="U138" s="6"/>
      <c r="V138" s="5">
        <v>13240.405</v>
      </c>
    </row>
    <row r="139" ht="15.75" customHeight="1">
      <c r="A139" s="4" t="s">
        <v>314</v>
      </c>
      <c r="B139" s="4" t="s">
        <v>315</v>
      </c>
      <c r="C139" s="4" t="s">
        <v>71</v>
      </c>
      <c r="D139" s="5">
        <v>264.0</v>
      </c>
      <c r="E139" s="5">
        <v>68722.0</v>
      </c>
      <c r="F139" s="6">
        <f t="shared" si="1"/>
        <v>260.3106061</v>
      </c>
      <c r="G139" s="5">
        <v>37.0</v>
      </c>
      <c r="H139" s="6">
        <f t="shared" si="2"/>
        <v>53.84010943</v>
      </c>
      <c r="I139" s="7" t="str">
        <f t="shared" si="3"/>
        <v/>
      </c>
      <c r="J139" s="6">
        <v>105.9</v>
      </c>
      <c r="K139" s="7" t="str">
        <f t="shared" si="4"/>
        <v/>
      </c>
      <c r="L139" s="6">
        <v>217.9</v>
      </c>
      <c r="M139" s="5">
        <v>165.0</v>
      </c>
      <c r="N139" s="6">
        <v>240.8</v>
      </c>
      <c r="O139" s="8">
        <v>44192.0</v>
      </c>
      <c r="P139" s="7">
        <f t="shared" si="5"/>
        <v>19</v>
      </c>
      <c r="Q139" s="6">
        <v>65.18</v>
      </c>
      <c r="R139" s="6">
        <v>82.78</v>
      </c>
      <c r="S139" s="8">
        <v>44341.0</v>
      </c>
      <c r="T139" s="8">
        <v>44414.0</v>
      </c>
      <c r="U139" s="6"/>
      <c r="V139" s="5">
        <v>49903.029</v>
      </c>
    </row>
    <row r="140" ht="15.75" customHeight="1">
      <c r="A140" s="4" t="s">
        <v>316</v>
      </c>
      <c r="B140" s="4" t="s">
        <v>317</v>
      </c>
      <c r="C140" s="4" t="s">
        <v>39</v>
      </c>
      <c r="D140" s="5">
        <v>1399.0</v>
      </c>
      <c r="E140" s="5">
        <v>53117.0</v>
      </c>
      <c r="F140" s="6">
        <f t="shared" si="1"/>
        <v>37.96783417</v>
      </c>
      <c r="G140" s="5">
        <v>28.0</v>
      </c>
      <c r="H140" s="6">
        <f t="shared" si="2"/>
        <v>52.71382043</v>
      </c>
      <c r="I140" s="7" t="str">
        <f t="shared" si="3"/>
        <v/>
      </c>
      <c r="J140" s="6">
        <v>-30.7</v>
      </c>
      <c r="K140" s="7" t="str">
        <f t="shared" si="4"/>
        <v/>
      </c>
      <c r="L140" s="6">
        <v>106.4</v>
      </c>
      <c r="M140" s="5">
        <v>55.0</v>
      </c>
      <c r="N140" s="6">
        <v>103.2</v>
      </c>
      <c r="O140" s="8">
        <v>44225.0</v>
      </c>
      <c r="P140" s="7">
        <f t="shared" si="5"/>
        <v>52</v>
      </c>
      <c r="Q140" s="6">
        <v>35.51</v>
      </c>
      <c r="R140" s="6">
        <v>76.3</v>
      </c>
      <c r="S140" s="8">
        <v>44397.0</v>
      </c>
      <c r="T140" s="8">
        <v>44488.0</v>
      </c>
      <c r="U140" s="6"/>
      <c r="V140" s="5"/>
    </row>
    <row r="141" ht="15.75" customHeight="1">
      <c r="A141" s="4" t="s">
        <v>318</v>
      </c>
      <c r="B141" s="4" t="s">
        <v>319</v>
      </c>
      <c r="C141" s="4" t="s">
        <v>39</v>
      </c>
      <c r="D141" s="5">
        <v>103000.0</v>
      </c>
      <c r="E141" s="5">
        <v>372903.0</v>
      </c>
      <c r="F141" s="6">
        <f t="shared" si="1"/>
        <v>3.620417476</v>
      </c>
      <c r="G141" s="5">
        <v>186.0</v>
      </c>
      <c r="H141" s="6">
        <f t="shared" si="2"/>
        <v>49.87892294</v>
      </c>
      <c r="I141" s="7" t="str">
        <f t="shared" si="3"/>
        <v/>
      </c>
      <c r="J141" s="6">
        <v>-6.8</v>
      </c>
      <c r="K141" s="7" t="str">
        <f t="shared" si="4"/>
        <v/>
      </c>
      <c r="L141" s="6">
        <v>84.4</v>
      </c>
      <c r="M141" s="5">
        <v>584.0</v>
      </c>
      <c r="N141" s="6">
        <v>156.7</v>
      </c>
      <c r="O141" s="8">
        <v>44195.0</v>
      </c>
      <c r="P141" s="7">
        <f t="shared" si="5"/>
        <v>22</v>
      </c>
      <c r="Q141" s="6">
        <v>51.54</v>
      </c>
      <c r="R141" s="6">
        <v>76.14</v>
      </c>
      <c r="S141" s="8">
        <v>44377.0</v>
      </c>
      <c r="T141" s="8">
        <v>44433.0</v>
      </c>
      <c r="U141" s="6">
        <v>37.3</v>
      </c>
      <c r="V141" s="5">
        <v>46482.958</v>
      </c>
    </row>
    <row r="142" ht="15.75" customHeight="1">
      <c r="A142" s="4" t="s">
        <v>320</v>
      </c>
      <c r="B142" s="4" t="s">
        <v>321</v>
      </c>
      <c r="C142" s="4" t="s">
        <v>52</v>
      </c>
      <c r="D142" s="5">
        <v>513115.0</v>
      </c>
      <c r="E142" s="5">
        <v>7.1697024E7</v>
      </c>
      <c r="F142" s="6">
        <f t="shared" si="1"/>
        <v>139.7289574</v>
      </c>
      <c r="G142" s="5">
        <v>34715.0</v>
      </c>
      <c r="H142" s="6">
        <f t="shared" si="2"/>
        <v>48.41902504</v>
      </c>
      <c r="I142" s="7">
        <f t="shared" si="3"/>
        <v>87</v>
      </c>
      <c r="J142" s="6">
        <v>84.3</v>
      </c>
      <c r="K142" s="7">
        <f t="shared" si="4"/>
        <v>124</v>
      </c>
      <c r="L142" s="6">
        <v>201.1</v>
      </c>
      <c r="M142" s="5">
        <v>225184.0</v>
      </c>
      <c r="N142" s="6">
        <v>314.1</v>
      </c>
      <c r="O142" s="8">
        <v>44255.0</v>
      </c>
      <c r="P142" s="7">
        <f t="shared" si="5"/>
        <v>82</v>
      </c>
      <c r="Q142" s="6">
        <v>3.93</v>
      </c>
      <c r="R142" s="6">
        <v>64.6</v>
      </c>
      <c r="S142" s="8">
        <v>44513.0</v>
      </c>
      <c r="T142" s="8">
        <v>44650.0</v>
      </c>
      <c r="U142" s="6">
        <v>40.1</v>
      </c>
      <c r="V142" s="5">
        <v>16277.671</v>
      </c>
    </row>
    <row r="143" ht="15.75" customHeight="1">
      <c r="A143" s="4" t="s">
        <v>322</v>
      </c>
      <c r="B143" s="4" t="s">
        <v>323</v>
      </c>
      <c r="C143" s="4" t="s">
        <v>71</v>
      </c>
      <c r="D143" s="5">
        <v>25.0</v>
      </c>
      <c r="E143" s="5">
        <v>10994.0</v>
      </c>
      <c r="F143" s="6">
        <f t="shared" si="1"/>
        <v>439.76</v>
      </c>
      <c r="G143" s="5">
        <v>5.0</v>
      </c>
      <c r="H143" s="6">
        <f t="shared" si="2"/>
        <v>45.47935237</v>
      </c>
      <c r="I143" s="7" t="str">
        <f t="shared" si="3"/>
        <v/>
      </c>
      <c r="J143" s="6"/>
      <c r="K143" s="7" t="str">
        <f t="shared" si="4"/>
        <v/>
      </c>
      <c r="L143" s="6"/>
      <c r="M143" s="5"/>
      <c r="N143" s="6"/>
      <c r="O143" s="8"/>
      <c r="P143" s="7" t="str">
        <f t="shared" si="5"/>
        <v/>
      </c>
      <c r="Q143" s="6"/>
      <c r="R143" s="6"/>
      <c r="S143" s="8"/>
      <c r="T143" s="8"/>
      <c r="U143" s="6"/>
      <c r="V143" s="5"/>
    </row>
    <row r="144" ht="15.75" customHeight="1">
      <c r="A144" s="4" t="s">
        <v>324</v>
      </c>
      <c r="B144" s="4" t="s">
        <v>325</v>
      </c>
      <c r="C144" s="4" t="s">
        <v>52</v>
      </c>
      <c r="D144" s="5">
        <v>331689.0</v>
      </c>
      <c r="E144" s="5">
        <v>9.8186856E7</v>
      </c>
      <c r="F144" s="6">
        <f t="shared" si="1"/>
        <v>296.0208388</v>
      </c>
      <c r="G144" s="5">
        <v>43206.0</v>
      </c>
      <c r="H144" s="6">
        <f t="shared" si="2"/>
        <v>44.00385322</v>
      </c>
      <c r="I144" s="7">
        <f t="shared" si="3"/>
        <v>88</v>
      </c>
      <c r="J144" s="6">
        <v>78.4</v>
      </c>
      <c r="K144" s="7">
        <f t="shared" si="4"/>
        <v>130</v>
      </c>
      <c r="L144" s="6">
        <v>284.9</v>
      </c>
      <c r="M144" s="5">
        <v>420457.0</v>
      </c>
      <c r="N144" s="6">
        <v>428.2</v>
      </c>
      <c r="O144" s="8">
        <v>44263.0</v>
      </c>
      <c r="P144" s="7">
        <f t="shared" si="5"/>
        <v>90</v>
      </c>
      <c r="Q144" s="6">
        <v>0.2</v>
      </c>
      <c r="R144" s="6">
        <v>69.7</v>
      </c>
      <c r="S144" s="8">
        <v>44532.0</v>
      </c>
      <c r="T144" s="8">
        <v>44574.0</v>
      </c>
      <c r="U144" s="6">
        <v>32.6</v>
      </c>
      <c r="V144" s="5">
        <v>6171.884</v>
      </c>
    </row>
    <row r="145" ht="15.75" customHeight="1">
      <c r="A145" s="4" t="s">
        <v>326</v>
      </c>
      <c r="B145" s="4" t="s">
        <v>327</v>
      </c>
      <c r="C145" s="4" t="s">
        <v>129</v>
      </c>
      <c r="D145" s="5">
        <v>446550.0</v>
      </c>
      <c r="E145" s="5">
        <v>3.7457976E7</v>
      </c>
      <c r="F145" s="6">
        <f t="shared" si="1"/>
        <v>83.88305005</v>
      </c>
      <c r="G145" s="5">
        <v>16305.0</v>
      </c>
      <c r="H145" s="6">
        <f t="shared" si="2"/>
        <v>43.52878009</v>
      </c>
      <c r="I145" s="7">
        <f t="shared" si="3"/>
        <v>89</v>
      </c>
      <c r="J145" s="6">
        <v>190.7</v>
      </c>
      <c r="K145" s="7">
        <f t="shared" si="4"/>
        <v>65</v>
      </c>
      <c r="L145" s="6">
        <v>239.8</v>
      </c>
      <c r="M145" s="5">
        <v>96104.0</v>
      </c>
      <c r="N145" s="6">
        <v>256.6</v>
      </c>
      <c r="O145" s="8">
        <v>44225.0</v>
      </c>
      <c r="P145" s="7">
        <f t="shared" si="5"/>
        <v>52</v>
      </c>
      <c r="Q145" s="6">
        <v>24.34</v>
      </c>
      <c r="R145" s="6">
        <v>61.39</v>
      </c>
      <c r="S145" s="8">
        <v>44467.0</v>
      </c>
      <c r="T145" s="8"/>
      <c r="U145" s="6">
        <v>29.6</v>
      </c>
      <c r="V145" s="5">
        <v>7485.013</v>
      </c>
    </row>
    <row r="146" ht="15.75" customHeight="1">
      <c r="A146" s="4" t="s">
        <v>328</v>
      </c>
      <c r="B146" s="4" t="s">
        <v>329</v>
      </c>
      <c r="C146" s="4" t="s">
        <v>126</v>
      </c>
      <c r="D146" s="5">
        <v>181.0</v>
      </c>
      <c r="E146" s="5">
        <v>41593.0</v>
      </c>
      <c r="F146" s="6">
        <f t="shared" si="1"/>
        <v>229.7955801</v>
      </c>
      <c r="G146" s="5">
        <v>17.0</v>
      </c>
      <c r="H146" s="6">
        <f t="shared" si="2"/>
        <v>40.87226216</v>
      </c>
      <c r="I146" s="7" t="str">
        <f t="shared" si="3"/>
        <v/>
      </c>
      <c r="J146" s="6">
        <v>51.8</v>
      </c>
      <c r="K146" s="7" t="str">
        <f t="shared" si="4"/>
        <v/>
      </c>
      <c r="L146" s="6">
        <v>123.1</v>
      </c>
      <c r="M146" s="5">
        <v>65.0</v>
      </c>
      <c r="N146" s="6">
        <v>156.9</v>
      </c>
      <c r="O146" s="8"/>
      <c r="P146" s="7" t="str">
        <f t="shared" si="5"/>
        <v/>
      </c>
      <c r="Q146" s="6"/>
      <c r="R146" s="6"/>
      <c r="S146" s="8"/>
      <c r="T146" s="8"/>
      <c r="U146" s="6"/>
      <c r="V146" s="5">
        <v>3819.202</v>
      </c>
    </row>
    <row r="147" ht="15.75" customHeight="1">
      <c r="A147" s="4" t="s">
        <v>330</v>
      </c>
      <c r="B147" s="4" t="s">
        <v>331</v>
      </c>
      <c r="C147" s="4" t="s">
        <v>52</v>
      </c>
      <c r="D147" s="5">
        <v>5765.0</v>
      </c>
      <c r="E147" s="5">
        <v>449002.0</v>
      </c>
      <c r="F147" s="6">
        <f t="shared" si="1"/>
        <v>77.88412836</v>
      </c>
      <c r="G147" s="5">
        <v>179.0</v>
      </c>
      <c r="H147" s="6">
        <f t="shared" si="2"/>
        <v>39.86619213</v>
      </c>
      <c r="I147" s="7" t="str">
        <f t="shared" si="3"/>
        <v/>
      </c>
      <c r="J147" s="6">
        <v>-6.9</v>
      </c>
      <c r="K147" s="7" t="str">
        <f t="shared" si="4"/>
        <v/>
      </c>
      <c r="L147" s="6">
        <v>84.8</v>
      </c>
      <c r="M147" s="5">
        <v>723.0</v>
      </c>
      <c r="N147" s="6">
        <v>160.9</v>
      </c>
      <c r="O147" s="8">
        <v>44289.0</v>
      </c>
      <c r="P147" s="7">
        <f t="shared" si="5"/>
        <v>116</v>
      </c>
      <c r="Q147" s="6">
        <v>3.28</v>
      </c>
      <c r="R147" s="6">
        <v>89.24</v>
      </c>
      <c r="S147" s="8">
        <v>44487.0</v>
      </c>
      <c r="T147" s="8">
        <v>44519.0</v>
      </c>
      <c r="U147" s="6">
        <v>32.4</v>
      </c>
      <c r="V147" s="5">
        <v>71809.251</v>
      </c>
    </row>
    <row r="148" ht="15.75" customHeight="1">
      <c r="A148" s="4" t="s">
        <v>332</v>
      </c>
      <c r="B148" s="4" t="s">
        <v>333</v>
      </c>
      <c r="C148" s="4" t="s">
        <v>52</v>
      </c>
      <c r="D148" s="5">
        <v>147181.0</v>
      </c>
      <c r="E148" s="5">
        <v>3.0547586E7</v>
      </c>
      <c r="F148" s="6">
        <f t="shared" si="1"/>
        <v>207.5511513</v>
      </c>
      <c r="G148" s="5">
        <v>12031.0</v>
      </c>
      <c r="H148" s="6">
        <f t="shared" si="2"/>
        <v>39.38445414</v>
      </c>
      <c r="I148" s="7">
        <f t="shared" si="3"/>
        <v>90</v>
      </c>
      <c r="J148" s="6">
        <v>298.9</v>
      </c>
      <c r="K148" s="7">
        <f t="shared" si="4"/>
        <v>35</v>
      </c>
      <c r="L148" s="6">
        <v>389.5</v>
      </c>
      <c r="M148" s="5">
        <v>147423.0</v>
      </c>
      <c r="N148" s="6">
        <v>482.6</v>
      </c>
      <c r="O148" s="8">
        <v>44223.0</v>
      </c>
      <c r="P148" s="7">
        <f t="shared" si="5"/>
        <v>50</v>
      </c>
      <c r="Q148" s="6">
        <v>2.47</v>
      </c>
      <c r="R148" s="6">
        <v>31.88</v>
      </c>
      <c r="S148" s="8">
        <v>44599.0</v>
      </c>
      <c r="T148" s="8">
        <v>44802.0</v>
      </c>
      <c r="U148" s="6">
        <v>25.0</v>
      </c>
      <c r="V148" s="5">
        <v>2442.804</v>
      </c>
    </row>
    <row r="149" ht="15.75" customHeight="1">
      <c r="A149" s="4" t="s">
        <v>334</v>
      </c>
      <c r="B149" s="4" t="s">
        <v>335</v>
      </c>
      <c r="C149" s="4" t="s">
        <v>71</v>
      </c>
      <c r="D149" s="5">
        <v>48511.0</v>
      </c>
      <c r="E149" s="5">
        <v>1.1228821E7</v>
      </c>
      <c r="F149" s="6">
        <f t="shared" si="1"/>
        <v>231.4695842</v>
      </c>
      <c r="G149" s="5">
        <v>4384.0</v>
      </c>
      <c r="H149" s="6">
        <f t="shared" si="2"/>
        <v>39.04238922</v>
      </c>
      <c r="I149" s="7">
        <f t="shared" si="3"/>
        <v>91</v>
      </c>
      <c r="J149" s="6">
        <v>61.7</v>
      </c>
      <c r="K149" s="7">
        <f t="shared" si="4"/>
        <v>144</v>
      </c>
      <c r="L149" s="6">
        <v>63.0</v>
      </c>
      <c r="M149" s="5">
        <v>5533.0</v>
      </c>
      <c r="N149" s="6">
        <v>49.3</v>
      </c>
      <c r="O149" s="8">
        <v>44243.0</v>
      </c>
      <c r="P149" s="7">
        <f t="shared" si="5"/>
        <v>70</v>
      </c>
      <c r="Q149" s="6">
        <v>25.76</v>
      </c>
      <c r="R149" s="6">
        <v>50.76</v>
      </c>
      <c r="S149" s="8">
        <v>44533.0</v>
      </c>
      <c r="T149" s="8"/>
      <c r="U149" s="6">
        <v>27.6</v>
      </c>
      <c r="V149" s="5">
        <v>14600.861</v>
      </c>
    </row>
    <row r="150" ht="15.75" customHeight="1">
      <c r="A150" s="4" t="s">
        <v>336</v>
      </c>
      <c r="B150" s="4" t="s">
        <v>337</v>
      </c>
      <c r="C150" s="4" t="s">
        <v>52</v>
      </c>
      <c r="D150" s="5">
        <v>3287263.0</v>
      </c>
      <c r="E150" s="5">
        <v>1.41717312E9</v>
      </c>
      <c r="F150" s="6">
        <f t="shared" si="1"/>
        <v>431.1103553</v>
      </c>
      <c r="G150" s="5">
        <v>533623.0</v>
      </c>
      <c r="H150" s="6">
        <f t="shared" si="2"/>
        <v>37.65404469</v>
      </c>
      <c r="I150" s="7">
        <f t="shared" si="3"/>
        <v>92</v>
      </c>
      <c r="J150" s="6">
        <v>275.5</v>
      </c>
      <c r="K150" s="7">
        <f t="shared" si="4"/>
        <v>38</v>
      </c>
      <c r="L150" s="6">
        <v>372.1</v>
      </c>
      <c r="M150" s="5">
        <v>6093727.0</v>
      </c>
      <c r="N150" s="6">
        <v>430.0</v>
      </c>
      <c r="O150" s="8">
        <v>44212.0</v>
      </c>
      <c r="P150" s="7">
        <f t="shared" si="5"/>
        <v>39</v>
      </c>
      <c r="Q150" s="6">
        <v>4.07</v>
      </c>
      <c r="R150" s="6">
        <v>42.57</v>
      </c>
      <c r="S150" s="8">
        <v>44592.0</v>
      </c>
      <c r="T150" s="8"/>
      <c r="U150" s="6">
        <v>28.2</v>
      </c>
      <c r="V150" s="5">
        <v>6426.674</v>
      </c>
    </row>
    <row r="151" ht="15.75" customHeight="1">
      <c r="A151" s="4" t="s">
        <v>338</v>
      </c>
      <c r="B151" s="4" t="s">
        <v>339</v>
      </c>
      <c r="C151" s="4" t="s">
        <v>71</v>
      </c>
      <c r="D151" s="5">
        <v>2166090.0</v>
      </c>
      <c r="E151" s="5">
        <v>56494.0</v>
      </c>
      <c r="F151" s="6">
        <f t="shared" si="1"/>
        <v>0.02608109543</v>
      </c>
      <c r="G151" s="5">
        <v>21.0</v>
      </c>
      <c r="H151" s="6">
        <f t="shared" si="2"/>
        <v>37.17208907</v>
      </c>
      <c r="I151" s="7" t="str">
        <f t="shared" si="3"/>
        <v/>
      </c>
      <c r="J151" s="6">
        <v>-89.8</v>
      </c>
      <c r="K151" s="7" t="str">
        <f t="shared" si="4"/>
        <v/>
      </c>
      <c r="L151" s="6">
        <v>-154.5</v>
      </c>
      <c r="M151" s="5">
        <v>-162.0</v>
      </c>
      <c r="N151" s="6">
        <v>-286.3</v>
      </c>
      <c r="O151" s="8">
        <v>44223.0</v>
      </c>
      <c r="P151" s="7">
        <f t="shared" si="5"/>
        <v>50</v>
      </c>
      <c r="Q151" s="6">
        <v>19.9</v>
      </c>
      <c r="R151" s="6">
        <v>67.36</v>
      </c>
      <c r="S151" s="8">
        <v>44419.0</v>
      </c>
      <c r="T151" s="8"/>
      <c r="U151" s="6"/>
      <c r="V151" s="5"/>
    </row>
    <row r="152" ht="15.75" customHeight="1">
      <c r="A152" s="4" t="s">
        <v>340</v>
      </c>
      <c r="B152" s="4" t="s">
        <v>341</v>
      </c>
      <c r="C152" s="4" t="s">
        <v>52</v>
      </c>
      <c r="D152" s="5">
        <v>676578.0</v>
      </c>
      <c r="E152" s="5">
        <v>5.4179312E7</v>
      </c>
      <c r="F152" s="6">
        <f t="shared" si="1"/>
        <v>80.07844181</v>
      </c>
      <c r="G152" s="5">
        <v>19494.0</v>
      </c>
      <c r="H152" s="6">
        <f t="shared" si="2"/>
        <v>35.98052334</v>
      </c>
      <c r="I152" s="7">
        <f t="shared" si="3"/>
        <v>93</v>
      </c>
      <c r="J152" s="6">
        <v>204.8</v>
      </c>
      <c r="K152" s="7">
        <f t="shared" si="4"/>
        <v>60</v>
      </c>
      <c r="L152" s="6">
        <v>298.0</v>
      </c>
      <c r="M152" s="5">
        <v>205457.0</v>
      </c>
      <c r="N152" s="6">
        <v>379.2</v>
      </c>
      <c r="O152" s="8">
        <v>44223.0</v>
      </c>
      <c r="P152" s="7">
        <f t="shared" si="5"/>
        <v>50</v>
      </c>
      <c r="Q152" s="6">
        <v>2.82</v>
      </c>
      <c r="R152" s="6">
        <v>24.05</v>
      </c>
      <c r="S152" s="8">
        <v>44730.0</v>
      </c>
      <c r="T152" s="8"/>
      <c r="U152" s="6">
        <v>29.1</v>
      </c>
      <c r="V152" s="5">
        <v>5591.597</v>
      </c>
    </row>
    <row r="153" ht="15.75" customHeight="1">
      <c r="A153" s="4" t="s">
        <v>342</v>
      </c>
      <c r="B153" s="4" t="s">
        <v>343</v>
      </c>
      <c r="C153" s="4" t="s">
        <v>52</v>
      </c>
      <c r="D153" s="5">
        <v>618.0</v>
      </c>
      <c r="E153" s="5">
        <v>5637022.0</v>
      </c>
      <c r="F153" s="6">
        <f t="shared" si="1"/>
        <v>9121.394822</v>
      </c>
      <c r="G153" s="5">
        <v>2024.0</v>
      </c>
      <c r="H153" s="6">
        <f t="shared" si="2"/>
        <v>35.90548343</v>
      </c>
      <c r="I153" s="7">
        <f t="shared" si="3"/>
        <v>94</v>
      </c>
      <c r="J153" s="6">
        <v>22.1</v>
      </c>
      <c r="K153" s="7">
        <f t="shared" si="4"/>
        <v>153</v>
      </c>
      <c r="L153" s="6">
        <v>86.2</v>
      </c>
      <c r="M153" s="5">
        <v>9950.0</v>
      </c>
      <c r="N153" s="6">
        <v>176.5</v>
      </c>
      <c r="O153" s="8">
        <v>44195.0</v>
      </c>
      <c r="P153" s="7">
        <f t="shared" si="5"/>
        <v>22</v>
      </c>
      <c r="Q153" s="6">
        <v>37.13</v>
      </c>
      <c r="R153" s="6">
        <v>83.1</v>
      </c>
      <c r="S153" s="8">
        <v>44400.0</v>
      </c>
      <c r="T153" s="8">
        <v>44422.0</v>
      </c>
      <c r="U153" s="6">
        <v>42.4</v>
      </c>
      <c r="V153" s="5">
        <v>85535.383</v>
      </c>
    </row>
    <row r="154" ht="15.75" customHeight="1">
      <c r="A154" s="4" t="s">
        <v>344</v>
      </c>
      <c r="B154" s="4" t="s">
        <v>345</v>
      </c>
      <c r="C154" s="4" t="s">
        <v>129</v>
      </c>
      <c r="D154" s="5">
        <v>964.0</v>
      </c>
      <c r="E154" s="5">
        <v>227393.0</v>
      </c>
      <c r="F154" s="6">
        <f t="shared" si="1"/>
        <v>235.8848548</v>
      </c>
      <c r="G154" s="5">
        <v>80.0</v>
      </c>
      <c r="H154" s="6">
        <f t="shared" si="2"/>
        <v>35.18138201</v>
      </c>
      <c r="I154" s="7" t="str">
        <f t="shared" si="3"/>
        <v/>
      </c>
      <c r="J154" s="6">
        <v>72.4</v>
      </c>
      <c r="K154" s="7" t="str">
        <f t="shared" si="4"/>
        <v/>
      </c>
      <c r="L154" s="6">
        <v>99.7</v>
      </c>
      <c r="M154" s="5">
        <v>245.0</v>
      </c>
      <c r="N154" s="6">
        <v>107.6</v>
      </c>
      <c r="O154" s="8">
        <v>44271.0</v>
      </c>
      <c r="P154" s="7">
        <f t="shared" si="5"/>
        <v>98</v>
      </c>
      <c r="Q154" s="6">
        <v>4.96</v>
      </c>
      <c r="R154" s="6">
        <v>22.52</v>
      </c>
      <c r="S154" s="8"/>
      <c r="T154" s="8"/>
      <c r="U154" s="6">
        <v>18.7</v>
      </c>
      <c r="V154" s="5">
        <v>3052.714</v>
      </c>
    </row>
    <row r="155" ht="15.75" customHeight="1">
      <c r="A155" s="4" t="s">
        <v>346</v>
      </c>
      <c r="B155" s="4" t="s">
        <v>347</v>
      </c>
      <c r="C155" s="4" t="s">
        <v>129</v>
      </c>
      <c r="D155" s="5">
        <v>390757.0</v>
      </c>
      <c r="E155" s="5">
        <v>1.6320539E7</v>
      </c>
      <c r="F155" s="6">
        <f t="shared" si="1"/>
        <v>41.76646612</v>
      </c>
      <c r="G155" s="5">
        <v>5740.0</v>
      </c>
      <c r="H155" s="6">
        <f t="shared" si="2"/>
        <v>35.17040706</v>
      </c>
      <c r="I155" s="7">
        <f t="shared" si="3"/>
        <v>95</v>
      </c>
      <c r="J155" s="6">
        <v>217.6</v>
      </c>
      <c r="K155" s="7">
        <f t="shared" si="4"/>
        <v>54</v>
      </c>
      <c r="L155" s="6">
        <v>289.7</v>
      </c>
      <c r="M155" s="5">
        <v>51351.0</v>
      </c>
      <c r="N155" s="6">
        <v>314.6</v>
      </c>
      <c r="O155" s="8">
        <v>44245.0</v>
      </c>
      <c r="P155" s="7">
        <f t="shared" si="5"/>
        <v>72</v>
      </c>
      <c r="Q155" s="6">
        <v>3.4</v>
      </c>
      <c r="R155" s="6">
        <v>19.21</v>
      </c>
      <c r="S155" s="8"/>
      <c r="T155" s="8"/>
      <c r="U155" s="6">
        <v>19.6</v>
      </c>
      <c r="V155" s="5">
        <v>1899.775</v>
      </c>
    </row>
    <row r="156" ht="15.75" customHeight="1">
      <c r="A156" s="4" t="s">
        <v>348</v>
      </c>
      <c r="B156" s="4" t="s">
        <v>349</v>
      </c>
      <c r="C156" s="4" t="s">
        <v>71</v>
      </c>
      <c r="D156" s="5">
        <v>242.0</v>
      </c>
      <c r="E156" s="5">
        <v>5885.0</v>
      </c>
      <c r="F156" s="6">
        <f t="shared" si="1"/>
        <v>24.31818182</v>
      </c>
      <c r="G156" s="5">
        <v>2.0</v>
      </c>
      <c r="H156" s="6">
        <f t="shared" si="2"/>
        <v>33.98470688</v>
      </c>
      <c r="I156" s="7" t="str">
        <f t="shared" si="3"/>
        <v/>
      </c>
      <c r="J156" s="6">
        <v>-13.4</v>
      </c>
      <c r="K156" s="7" t="str">
        <f t="shared" si="4"/>
        <v/>
      </c>
      <c r="L156" s="6">
        <v>95.6</v>
      </c>
      <c r="M156" s="5">
        <v>2.0</v>
      </c>
      <c r="N156" s="6">
        <v>39.7</v>
      </c>
      <c r="O156" s="8"/>
      <c r="P156" s="7" t="str">
        <f t="shared" si="5"/>
        <v/>
      </c>
      <c r="Q156" s="6"/>
      <c r="R156" s="6"/>
      <c r="S156" s="8"/>
      <c r="T156" s="8"/>
      <c r="U156" s="6"/>
      <c r="V156" s="5"/>
    </row>
    <row r="157" ht="15.75" customHeight="1">
      <c r="A157" s="4" t="s">
        <v>350</v>
      </c>
      <c r="B157" s="4" t="s">
        <v>351</v>
      </c>
      <c r="C157" s="4" t="s">
        <v>129</v>
      </c>
      <c r="D157" s="5">
        <v>30355.0</v>
      </c>
      <c r="E157" s="5">
        <v>2305826.0</v>
      </c>
      <c r="F157" s="6">
        <f t="shared" si="1"/>
        <v>75.9619832</v>
      </c>
      <c r="G157" s="5">
        <v>709.0</v>
      </c>
      <c r="H157" s="6">
        <f t="shared" si="2"/>
        <v>30.74820043</v>
      </c>
      <c r="I157" s="7">
        <f t="shared" si="3"/>
        <v>96</v>
      </c>
      <c r="J157" s="6">
        <v>91.1</v>
      </c>
      <c r="K157" s="7">
        <f t="shared" si="4"/>
        <v>117</v>
      </c>
      <c r="L157" s="6">
        <v>152.5</v>
      </c>
      <c r="M157" s="5">
        <v>5501.0</v>
      </c>
      <c r="N157" s="6">
        <v>238.6</v>
      </c>
      <c r="O157" s="8">
        <v>44265.0</v>
      </c>
      <c r="P157" s="7">
        <f t="shared" si="5"/>
        <v>92</v>
      </c>
      <c r="Q157" s="6">
        <v>0.01</v>
      </c>
      <c r="R157" s="6">
        <v>31.55</v>
      </c>
      <c r="S157" s="8"/>
      <c r="T157" s="8"/>
      <c r="U157" s="6">
        <v>22.2</v>
      </c>
      <c r="V157" s="5">
        <v>2851.153</v>
      </c>
    </row>
    <row r="158" ht="15.75" customHeight="1">
      <c r="A158" s="4" t="s">
        <v>352</v>
      </c>
      <c r="B158" s="4" t="s">
        <v>353</v>
      </c>
      <c r="C158" s="4" t="s">
        <v>126</v>
      </c>
      <c r="D158" s="5">
        <v>28896.0</v>
      </c>
      <c r="E158" s="5">
        <v>724272.0</v>
      </c>
      <c r="F158" s="6">
        <f t="shared" si="1"/>
        <v>25.06478405</v>
      </c>
      <c r="G158" s="5">
        <v>199.0</v>
      </c>
      <c r="H158" s="6">
        <f t="shared" si="2"/>
        <v>27.47586542</v>
      </c>
      <c r="I158" s="7" t="str">
        <f t="shared" si="3"/>
        <v/>
      </c>
      <c r="J158" s="6">
        <v>26.7</v>
      </c>
      <c r="K158" s="7" t="str">
        <f t="shared" si="4"/>
        <v/>
      </c>
      <c r="L158" s="6">
        <v>114.3</v>
      </c>
      <c r="M158" s="5">
        <v>1097.0</v>
      </c>
      <c r="N158" s="6">
        <v>151.4</v>
      </c>
      <c r="O158" s="8">
        <v>44279.0</v>
      </c>
      <c r="P158" s="7">
        <f t="shared" si="5"/>
        <v>106</v>
      </c>
      <c r="Q158" s="6">
        <v>0.51</v>
      </c>
      <c r="R158" s="6">
        <v>7.72</v>
      </c>
      <c r="S158" s="8"/>
      <c r="T158" s="8"/>
      <c r="U158" s="6">
        <v>20.8</v>
      </c>
      <c r="V158" s="5">
        <v>2205.923</v>
      </c>
    </row>
    <row r="159" ht="15.75" customHeight="1">
      <c r="A159" s="4" t="s">
        <v>354</v>
      </c>
      <c r="B159" s="4" t="s">
        <v>355</v>
      </c>
      <c r="C159" s="4" t="s">
        <v>52</v>
      </c>
      <c r="D159" s="5">
        <v>2149690.0</v>
      </c>
      <c r="E159" s="5">
        <v>3.6408824E7</v>
      </c>
      <c r="F159" s="6">
        <f t="shared" si="1"/>
        <v>16.93677879</v>
      </c>
      <c r="G159" s="5">
        <v>9646.0</v>
      </c>
      <c r="H159" s="6">
        <f t="shared" si="2"/>
        <v>26.49357749</v>
      </c>
      <c r="I159" s="7">
        <f t="shared" si="3"/>
        <v>97</v>
      </c>
      <c r="J159" s="6">
        <v>69.1</v>
      </c>
      <c r="K159" s="7">
        <f t="shared" si="4"/>
        <v>140</v>
      </c>
      <c r="L159" s="6">
        <v>84.0</v>
      </c>
      <c r="M159" s="5">
        <v>34476.0</v>
      </c>
      <c r="N159" s="6">
        <v>94.7</v>
      </c>
      <c r="O159" s="8">
        <v>44202.0</v>
      </c>
      <c r="P159" s="7">
        <f t="shared" si="5"/>
        <v>29</v>
      </c>
      <c r="Q159" s="6">
        <v>4.36</v>
      </c>
      <c r="R159" s="6">
        <v>63.67</v>
      </c>
      <c r="S159" s="8">
        <v>44464.0</v>
      </c>
      <c r="T159" s="8"/>
      <c r="U159" s="6">
        <v>31.9</v>
      </c>
      <c r="V159" s="5">
        <v>49045.411</v>
      </c>
    </row>
    <row r="160" ht="15.75" customHeight="1">
      <c r="A160" s="4" t="s">
        <v>356</v>
      </c>
      <c r="B160" s="4" t="s">
        <v>357</v>
      </c>
      <c r="C160" s="4" t="s">
        <v>52</v>
      </c>
      <c r="D160" s="5">
        <v>11000.0</v>
      </c>
      <c r="E160" s="5">
        <v>2695131.0</v>
      </c>
      <c r="F160" s="6">
        <f t="shared" si="1"/>
        <v>245.0119091</v>
      </c>
      <c r="G160" s="5">
        <v>690.0</v>
      </c>
      <c r="H160" s="6">
        <f t="shared" si="2"/>
        <v>25.601724</v>
      </c>
      <c r="I160" s="7">
        <f t="shared" si="3"/>
        <v>98</v>
      </c>
      <c r="J160" s="6">
        <v>33.4</v>
      </c>
      <c r="K160" s="7">
        <f t="shared" si="4"/>
        <v>149</v>
      </c>
      <c r="L160" s="6">
        <v>51.0</v>
      </c>
      <c r="M160" s="5">
        <v>2252.0</v>
      </c>
      <c r="N160" s="6">
        <v>83.6</v>
      </c>
      <c r="O160" s="8">
        <v>44188.0</v>
      </c>
      <c r="P160" s="7">
        <f t="shared" si="5"/>
        <v>15</v>
      </c>
      <c r="Q160" s="6">
        <v>53.07</v>
      </c>
      <c r="R160" s="6">
        <v>82.31</v>
      </c>
      <c r="S160" s="8">
        <v>44374.0</v>
      </c>
      <c r="T160" s="8">
        <v>44424.0</v>
      </c>
      <c r="U160" s="6">
        <v>31.9</v>
      </c>
      <c r="V160" s="5">
        <v>116935.6</v>
      </c>
    </row>
    <row r="161" ht="15.75" customHeight="1">
      <c r="A161" s="4" t="s">
        <v>358</v>
      </c>
      <c r="B161" s="4" t="s">
        <v>359</v>
      </c>
      <c r="C161" s="4" t="s">
        <v>52</v>
      </c>
      <c r="D161" s="5">
        <v>83600.0</v>
      </c>
      <c r="E161" s="5">
        <v>9441138.0</v>
      </c>
      <c r="F161" s="6">
        <f t="shared" si="1"/>
        <v>112.9322727</v>
      </c>
      <c r="G161" s="5">
        <v>2349.0</v>
      </c>
      <c r="H161" s="6">
        <f t="shared" si="2"/>
        <v>24.88047521</v>
      </c>
      <c r="I161" s="7">
        <f t="shared" si="3"/>
        <v>99</v>
      </c>
      <c r="J161" s="6">
        <v>53.8</v>
      </c>
      <c r="K161" s="7">
        <f t="shared" si="4"/>
        <v>146</v>
      </c>
      <c r="L161" s="6">
        <v>88.9</v>
      </c>
      <c r="M161" s="5">
        <v>13039.0</v>
      </c>
      <c r="N161" s="6">
        <v>138.1</v>
      </c>
      <c r="O161" s="8">
        <v>44201.0</v>
      </c>
      <c r="P161" s="7">
        <f t="shared" si="5"/>
        <v>28</v>
      </c>
      <c r="Q161" s="6">
        <v>40.64</v>
      </c>
      <c r="R161" s="6">
        <v>95.96</v>
      </c>
      <c r="S161" s="8">
        <v>44382.0</v>
      </c>
      <c r="T161" s="8">
        <v>44392.0</v>
      </c>
      <c r="U161" s="6">
        <v>34.0</v>
      </c>
      <c r="V161" s="5">
        <v>67293.483</v>
      </c>
    </row>
    <row r="162" ht="15.75" customHeight="1">
      <c r="A162" s="4" t="s">
        <v>360</v>
      </c>
      <c r="B162" s="4" t="s">
        <v>361</v>
      </c>
      <c r="C162" s="4" t="s">
        <v>129</v>
      </c>
      <c r="D162" s="5">
        <v>1001449.0</v>
      </c>
      <c r="E162" s="5">
        <v>1.10990096E8</v>
      </c>
      <c r="F162" s="6">
        <f t="shared" si="1"/>
        <v>110.829504</v>
      </c>
      <c r="G162" s="5">
        <v>24830.0</v>
      </c>
      <c r="H162" s="6">
        <f t="shared" si="2"/>
        <v>22.37136546</v>
      </c>
      <c r="I162" s="7">
        <f t="shared" si="3"/>
        <v>100</v>
      </c>
      <c r="J162" s="6">
        <v>262.8</v>
      </c>
      <c r="K162" s="7">
        <f t="shared" si="4"/>
        <v>43</v>
      </c>
      <c r="L162" s="6">
        <v>306.5</v>
      </c>
      <c r="M162" s="5">
        <v>376414.0</v>
      </c>
      <c r="N162" s="6">
        <v>339.1</v>
      </c>
      <c r="O162" s="8">
        <v>44221.0</v>
      </c>
      <c r="P162" s="7">
        <f t="shared" si="5"/>
        <v>48</v>
      </c>
      <c r="Q162" s="6">
        <v>0.7</v>
      </c>
      <c r="R162" s="6">
        <v>18.58</v>
      </c>
      <c r="S162" s="8"/>
      <c r="T162" s="8"/>
      <c r="U162" s="6">
        <v>25.3</v>
      </c>
      <c r="V162" s="5">
        <v>10550.206</v>
      </c>
    </row>
    <row r="163" ht="15.75" customHeight="1">
      <c r="A163" s="4" t="s">
        <v>362</v>
      </c>
      <c r="B163" s="4" t="s">
        <v>363</v>
      </c>
      <c r="C163" s="4" t="s">
        <v>129</v>
      </c>
      <c r="D163" s="5">
        <v>1025520.0</v>
      </c>
      <c r="E163" s="5">
        <v>4736146.0</v>
      </c>
      <c r="F163" s="6">
        <f t="shared" si="1"/>
        <v>4.618287308</v>
      </c>
      <c r="G163" s="5">
        <v>997.0</v>
      </c>
      <c r="H163" s="6">
        <f t="shared" si="2"/>
        <v>21.05087132</v>
      </c>
      <c r="I163" s="7">
        <f t="shared" si="3"/>
        <v>101</v>
      </c>
      <c r="J163" s="6">
        <v>81.1</v>
      </c>
      <c r="K163" s="7">
        <f t="shared" si="4"/>
        <v>127</v>
      </c>
      <c r="L163" s="6">
        <v>121.7</v>
      </c>
      <c r="M163" s="5">
        <v>7401.0</v>
      </c>
      <c r="N163" s="6">
        <v>156.3</v>
      </c>
      <c r="O163" s="8">
        <v>44282.0</v>
      </c>
      <c r="P163" s="7">
        <f t="shared" si="5"/>
        <v>109</v>
      </c>
      <c r="Q163" s="6">
        <v>0.19</v>
      </c>
      <c r="R163" s="6">
        <v>16.2</v>
      </c>
      <c r="S163" s="8"/>
      <c r="T163" s="8"/>
      <c r="U163" s="6">
        <v>20.3</v>
      </c>
      <c r="V163" s="5">
        <v>3597.633</v>
      </c>
    </row>
    <row r="164" ht="15.75" customHeight="1">
      <c r="A164" s="4" t="s">
        <v>364</v>
      </c>
      <c r="B164" s="4" t="s">
        <v>365</v>
      </c>
      <c r="C164" s="4" t="s">
        <v>36</v>
      </c>
      <c r="D164" s="5">
        <v>912050.0</v>
      </c>
      <c r="E164" s="5">
        <v>2.83017E7</v>
      </c>
      <c r="F164" s="6">
        <f t="shared" si="1"/>
        <v>31.03086454</v>
      </c>
      <c r="G164" s="5">
        <v>5856.0</v>
      </c>
      <c r="H164" s="6">
        <f t="shared" si="2"/>
        <v>20.69133656</v>
      </c>
      <c r="I164" s="7">
        <f t="shared" si="3"/>
        <v>102</v>
      </c>
      <c r="J164" s="6">
        <v>160.6</v>
      </c>
      <c r="K164" s="7">
        <f t="shared" si="4"/>
        <v>75</v>
      </c>
      <c r="L164" s="6">
        <v>215.8</v>
      </c>
      <c r="M164" s="5">
        <v>71614.0</v>
      </c>
      <c r="N164" s="6">
        <v>253.0</v>
      </c>
      <c r="O164" s="8">
        <v>44245.0</v>
      </c>
      <c r="P164" s="7">
        <f t="shared" si="5"/>
        <v>72</v>
      </c>
      <c r="Q164" s="6">
        <v>0.79</v>
      </c>
      <c r="R164" s="6">
        <v>41.02</v>
      </c>
      <c r="S164" s="8">
        <v>44603.0</v>
      </c>
      <c r="T164" s="8"/>
      <c r="U164" s="6">
        <v>29.0</v>
      </c>
      <c r="V164" s="5">
        <v>16745.022</v>
      </c>
    </row>
    <row r="165" ht="15.75" customHeight="1">
      <c r="A165" s="4" t="s">
        <v>366</v>
      </c>
      <c r="B165" s="4" t="s">
        <v>367</v>
      </c>
      <c r="C165" s="4" t="s">
        <v>129</v>
      </c>
      <c r="D165" s="5">
        <v>752618.0</v>
      </c>
      <c r="E165" s="5">
        <v>2.001767E7</v>
      </c>
      <c r="F165" s="6">
        <f t="shared" si="1"/>
        <v>26.59738406</v>
      </c>
      <c r="G165" s="5">
        <v>4077.0</v>
      </c>
      <c r="H165" s="6">
        <f t="shared" si="2"/>
        <v>20.36700575</v>
      </c>
      <c r="I165" s="7">
        <f t="shared" si="3"/>
        <v>103</v>
      </c>
      <c r="J165" s="6">
        <v>172.6</v>
      </c>
      <c r="K165" s="7">
        <f t="shared" si="4"/>
        <v>72</v>
      </c>
      <c r="L165" s="6">
        <v>241.8</v>
      </c>
      <c r="M165" s="5">
        <v>60759.0</v>
      </c>
      <c r="N165" s="6">
        <v>303.5</v>
      </c>
      <c r="O165" s="8">
        <v>44301.0</v>
      </c>
      <c r="P165" s="7">
        <f t="shared" si="5"/>
        <v>128</v>
      </c>
      <c r="Q165" s="6">
        <v>0.06</v>
      </c>
      <c r="R165" s="6">
        <v>6.08</v>
      </c>
      <c r="S165" s="8"/>
      <c r="T165" s="8"/>
      <c r="U165" s="6">
        <v>17.7</v>
      </c>
      <c r="V165" s="5">
        <v>3689.251</v>
      </c>
    </row>
    <row r="166" ht="15.75" customHeight="1">
      <c r="A166" s="4" t="s">
        <v>368</v>
      </c>
      <c r="B166" s="4" t="s">
        <v>369</v>
      </c>
      <c r="C166" s="4" t="s">
        <v>52</v>
      </c>
      <c r="D166" s="5">
        <v>652090.0</v>
      </c>
      <c r="E166" s="5">
        <v>4.1128772E7</v>
      </c>
      <c r="F166" s="6">
        <f t="shared" si="1"/>
        <v>63.07223236</v>
      </c>
      <c r="G166" s="5">
        <v>7998.0</v>
      </c>
      <c r="H166" s="6">
        <f t="shared" si="2"/>
        <v>19.4462407</v>
      </c>
      <c r="I166" s="7">
        <f t="shared" si="3"/>
        <v>104</v>
      </c>
      <c r="J166" s="6">
        <v>182.3</v>
      </c>
      <c r="K166" s="7">
        <f t="shared" si="4"/>
        <v>71</v>
      </c>
      <c r="L166" s="6">
        <v>275.2</v>
      </c>
      <c r="M166" s="5">
        <v>173611.0</v>
      </c>
      <c r="N166" s="6">
        <v>422.1</v>
      </c>
      <c r="O166" s="8">
        <v>44250.0</v>
      </c>
      <c r="P166" s="7">
        <f t="shared" si="5"/>
        <v>77</v>
      </c>
      <c r="Q166" s="6">
        <v>0.46</v>
      </c>
      <c r="R166" s="6">
        <v>9.13</v>
      </c>
      <c r="S166" s="8"/>
      <c r="T166" s="8"/>
      <c r="U166" s="6">
        <v>18.6</v>
      </c>
      <c r="V166" s="5">
        <v>1803.987</v>
      </c>
    </row>
    <row r="167" ht="15.75" customHeight="1">
      <c r="A167" s="4" t="s">
        <v>370</v>
      </c>
      <c r="B167" s="4" t="s">
        <v>371</v>
      </c>
      <c r="C167" s="4" t="s">
        <v>129</v>
      </c>
      <c r="D167" s="5">
        <v>1862.0</v>
      </c>
      <c r="E167" s="5">
        <v>836783.0</v>
      </c>
      <c r="F167" s="6">
        <f t="shared" si="1"/>
        <v>449.4001074</v>
      </c>
      <c r="G167" s="5">
        <v>160.0</v>
      </c>
      <c r="H167" s="6">
        <f t="shared" si="2"/>
        <v>19.12084734</v>
      </c>
      <c r="I167" s="7" t="str">
        <f t="shared" si="3"/>
        <v/>
      </c>
      <c r="J167" s="6">
        <v>115.5</v>
      </c>
      <c r="K167" s="7" t="str">
        <f t="shared" si="4"/>
        <v/>
      </c>
      <c r="L167" s="6">
        <v>164.5</v>
      </c>
      <c r="M167" s="5">
        <v>1810.0</v>
      </c>
      <c r="N167" s="6">
        <v>216.3</v>
      </c>
      <c r="O167" s="8">
        <v>44307.0</v>
      </c>
      <c r="P167" s="7">
        <f t="shared" si="5"/>
        <v>134</v>
      </c>
      <c r="Q167" s="6">
        <v>4.93</v>
      </c>
      <c r="R167" s="6">
        <v>29.41</v>
      </c>
      <c r="S167" s="8"/>
      <c r="T167" s="8"/>
      <c r="U167" s="6">
        <v>20.4</v>
      </c>
      <c r="V167" s="5">
        <v>1413.89</v>
      </c>
    </row>
    <row r="168" ht="15.75" customHeight="1">
      <c r="A168" s="4" t="s">
        <v>372</v>
      </c>
      <c r="B168" s="4" t="s">
        <v>373</v>
      </c>
      <c r="C168" s="4" t="s">
        <v>126</v>
      </c>
      <c r="D168" s="5">
        <v>726.0</v>
      </c>
      <c r="E168" s="5">
        <v>131237.0</v>
      </c>
      <c r="F168" s="6">
        <f t="shared" si="1"/>
        <v>180.7672176</v>
      </c>
      <c r="G168" s="5">
        <v>24.0</v>
      </c>
      <c r="H168" s="6">
        <f t="shared" si="2"/>
        <v>18.28752562</v>
      </c>
      <c r="I168" s="7" t="str">
        <f t="shared" si="3"/>
        <v/>
      </c>
      <c r="J168" s="6">
        <v>3.2</v>
      </c>
      <c r="K168" s="7" t="str">
        <f t="shared" si="4"/>
        <v/>
      </c>
      <c r="L168" s="6">
        <v>53.0</v>
      </c>
      <c r="M168" s="5">
        <v>107.0</v>
      </c>
      <c r="N168" s="6">
        <v>81.2</v>
      </c>
      <c r="O168" s="8">
        <v>44349.0</v>
      </c>
      <c r="P168" s="7">
        <f t="shared" si="5"/>
        <v>176</v>
      </c>
      <c r="Q168" s="6"/>
      <c r="R168" s="6">
        <v>17.28</v>
      </c>
      <c r="S168" s="8">
        <v>44844.0</v>
      </c>
      <c r="T168" s="8"/>
      <c r="U168" s="6">
        <v>23.2</v>
      </c>
      <c r="V168" s="5">
        <v>1981.132</v>
      </c>
    </row>
    <row r="169" ht="15.75" customHeight="1">
      <c r="A169" s="4" t="s">
        <v>374</v>
      </c>
      <c r="B169" s="4" t="s">
        <v>375</v>
      </c>
      <c r="C169" s="4" t="s">
        <v>52</v>
      </c>
      <c r="D169" s="5">
        <v>181035.0</v>
      </c>
      <c r="E169" s="5">
        <v>1.6767851E7</v>
      </c>
      <c r="F169" s="6">
        <f t="shared" si="1"/>
        <v>92.62215041</v>
      </c>
      <c r="G169" s="5">
        <v>3056.0</v>
      </c>
      <c r="H169" s="6">
        <f t="shared" si="2"/>
        <v>18.22535279</v>
      </c>
      <c r="I169" s="7">
        <f t="shared" si="3"/>
        <v>105</v>
      </c>
      <c r="J169" s="6">
        <v>115.3</v>
      </c>
      <c r="K169" s="7">
        <f t="shared" si="4"/>
        <v>93</v>
      </c>
      <c r="L169" s="6">
        <v>290.0</v>
      </c>
      <c r="M169" s="5">
        <v>83586.0</v>
      </c>
      <c r="N169" s="6">
        <v>498.5</v>
      </c>
      <c r="O169" s="8">
        <v>44237.0</v>
      </c>
      <c r="P169" s="7">
        <f t="shared" si="5"/>
        <v>64</v>
      </c>
      <c r="Q169" s="6">
        <v>18.18</v>
      </c>
      <c r="R169" s="6">
        <v>81.46</v>
      </c>
      <c r="S169" s="8">
        <v>44437.0</v>
      </c>
      <c r="T169" s="8">
        <v>44481.0</v>
      </c>
      <c r="U169" s="6">
        <v>25.6</v>
      </c>
      <c r="V169" s="5">
        <v>3645.07</v>
      </c>
    </row>
    <row r="170" ht="15.75" customHeight="1">
      <c r="A170" s="4" t="s">
        <v>376</v>
      </c>
      <c r="B170" s="4" t="s">
        <v>377</v>
      </c>
      <c r="C170" s="4" t="s">
        <v>52</v>
      </c>
      <c r="D170" s="5">
        <v>143998.0</v>
      </c>
      <c r="E170" s="5">
        <v>1.71186368E8</v>
      </c>
      <c r="F170" s="6">
        <f t="shared" si="1"/>
        <v>1188.810733</v>
      </c>
      <c r="G170" s="5">
        <v>29499.0</v>
      </c>
      <c r="H170" s="6">
        <f t="shared" si="2"/>
        <v>17.23209642</v>
      </c>
      <c r="I170" s="7">
        <f t="shared" si="3"/>
        <v>106</v>
      </c>
      <c r="J170" s="6">
        <v>244.4</v>
      </c>
      <c r="K170" s="7">
        <f t="shared" si="4"/>
        <v>47</v>
      </c>
      <c r="L170" s="6">
        <v>344.1</v>
      </c>
      <c r="M170" s="5">
        <v>887287.0</v>
      </c>
      <c r="N170" s="6">
        <v>518.3</v>
      </c>
      <c r="O170" s="8">
        <v>44223.0</v>
      </c>
      <c r="P170" s="7">
        <f t="shared" si="5"/>
        <v>50</v>
      </c>
      <c r="Q170" s="6">
        <v>2.5</v>
      </c>
      <c r="R170" s="6">
        <v>23.8</v>
      </c>
      <c r="S170" s="8">
        <v>44626.0</v>
      </c>
      <c r="T170" s="8">
        <v>44758.0</v>
      </c>
      <c r="U170" s="6">
        <v>27.5</v>
      </c>
      <c r="V170" s="5">
        <v>3523.984</v>
      </c>
    </row>
    <row r="171" ht="15.75" customHeight="1">
      <c r="A171" s="4" t="s">
        <v>378</v>
      </c>
      <c r="B171" s="4" t="s">
        <v>379</v>
      </c>
      <c r="C171" s="4" t="s">
        <v>129</v>
      </c>
      <c r="D171" s="5">
        <v>23200.0</v>
      </c>
      <c r="E171" s="5">
        <v>1120851.0</v>
      </c>
      <c r="F171" s="6">
        <f t="shared" si="1"/>
        <v>48.3125431</v>
      </c>
      <c r="G171" s="5">
        <v>189.0</v>
      </c>
      <c r="H171" s="6">
        <f t="shared" si="2"/>
        <v>16.86218775</v>
      </c>
      <c r="I171" s="7">
        <f t="shared" si="3"/>
        <v>107</v>
      </c>
      <c r="J171" s="6">
        <v>75.7</v>
      </c>
      <c r="K171" s="7">
        <f t="shared" si="4"/>
        <v>136</v>
      </c>
      <c r="L171" s="6">
        <v>98.8</v>
      </c>
      <c r="M171" s="5">
        <v>1405.0</v>
      </c>
      <c r="N171" s="6">
        <v>125.3</v>
      </c>
      <c r="O171" s="8">
        <v>44303.0</v>
      </c>
      <c r="P171" s="7">
        <f t="shared" si="5"/>
        <v>130</v>
      </c>
      <c r="Q171" s="6">
        <v>0.79</v>
      </c>
      <c r="R171" s="6">
        <v>2.33</v>
      </c>
      <c r="S171" s="8"/>
      <c r="T171" s="8"/>
      <c r="U171" s="6">
        <v>25.4</v>
      </c>
      <c r="V171" s="5">
        <v>2705.406</v>
      </c>
    </row>
    <row r="172" ht="15.75" customHeight="1">
      <c r="A172" s="4" t="s">
        <v>380</v>
      </c>
      <c r="B172" s="4" t="s">
        <v>381</v>
      </c>
      <c r="C172" s="4" t="s">
        <v>52</v>
      </c>
      <c r="D172" s="5">
        <v>199900.0</v>
      </c>
      <c r="E172" s="5">
        <v>6630621.0</v>
      </c>
      <c r="F172" s="6">
        <f t="shared" si="1"/>
        <v>33.16968984</v>
      </c>
      <c r="G172" s="5">
        <v>1024.0</v>
      </c>
      <c r="H172" s="6">
        <f t="shared" si="2"/>
        <v>15.44350069</v>
      </c>
      <c r="I172" s="7">
        <f t="shared" si="3"/>
        <v>108</v>
      </c>
      <c r="J172" s="6">
        <v>210.3</v>
      </c>
      <c r="K172" s="7">
        <f t="shared" si="4"/>
        <v>56</v>
      </c>
      <c r="L172" s="6">
        <v>194.2</v>
      </c>
      <c r="M172" s="5">
        <v>12453.0</v>
      </c>
      <c r="N172" s="6">
        <v>187.8</v>
      </c>
      <c r="O172" s="8">
        <v>44284.0</v>
      </c>
      <c r="P172" s="7">
        <f t="shared" si="5"/>
        <v>111</v>
      </c>
      <c r="Q172" s="6">
        <v>1.11</v>
      </c>
      <c r="R172" s="6">
        <v>14.95</v>
      </c>
      <c r="S172" s="8"/>
      <c r="T172" s="8"/>
      <c r="U172" s="6">
        <v>26.3</v>
      </c>
      <c r="V172" s="5">
        <v>3393.474</v>
      </c>
    </row>
    <row r="173" ht="15.75" customHeight="1">
      <c r="A173" s="4" t="s">
        <v>382</v>
      </c>
      <c r="B173" s="4" t="s">
        <v>383</v>
      </c>
      <c r="C173" s="4" t="s">
        <v>129</v>
      </c>
      <c r="D173" s="5">
        <v>2381741.0</v>
      </c>
      <c r="E173" s="5">
        <v>4.4903228E7</v>
      </c>
      <c r="F173" s="6">
        <f t="shared" si="1"/>
        <v>18.85311123</v>
      </c>
      <c r="G173" s="5">
        <v>6881.0</v>
      </c>
      <c r="H173" s="6">
        <f t="shared" si="2"/>
        <v>15.32406534</v>
      </c>
      <c r="I173" s="7">
        <f t="shared" si="3"/>
        <v>109</v>
      </c>
      <c r="J173" s="6">
        <v>198.7</v>
      </c>
      <c r="K173" s="7">
        <f t="shared" si="4"/>
        <v>62</v>
      </c>
      <c r="L173" s="6">
        <v>252.1</v>
      </c>
      <c r="M173" s="5">
        <v>132252.0</v>
      </c>
      <c r="N173" s="6">
        <v>294.5</v>
      </c>
      <c r="O173" s="8">
        <v>44226.0</v>
      </c>
      <c r="P173" s="7">
        <f t="shared" si="5"/>
        <v>53</v>
      </c>
      <c r="Q173" s="6"/>
      <c r="R173" s="6">
        <v>12.49</v>
      </c>
      <c r="S173" s="8"/>
      <c r="T173" s="8"/>
      <c r="U173" s="6">
        <v>29.1</v>
      </c>
      <c r="V173" s="5">
        <v>13913.839</v>
      </c>
    </row>
    <row r="174" ht="15.75" customHeight="1">
      <c r="A174" s="4" t="s">
        <v>384</v>
      </c>
      <c r="B174" s="4" t="s">
        <v>385</v>
      </c>
      <c r="C174" s="4" t="s">
        <v>52</v>
      </c>
      <c r="D174" s="5">
        <v>185180.0</v>
      </c>
      <c r="E174" s="5">
        <v>2.2125242E7</v>
      </c>
      <c r="F174" s="6">
        <f t="shared" si="1"/>
        <v>119.4796522</v>
      </c>
      <c r="G174" s="5">
        <v>3163.0</v>
      </c>
      <c r="H174" s="6">
        <f t="shared" si="2"/>
        <v>14.29588883</v>
      </c>
      <c r="I174" s="7">
        <f t="shared" si="3"/>
        <v>110</v>
      </c>
      <c r="J174" s="6">
        <v>79.1</v>
      </c>
      <c r="K174" s="7">
        <f t="shared" si="4"/>
        <v>128</v>
      </c>
      <c r="L174" s="6">
        <v>116.7</v>
      </c>
      <c r="M174" s="5">
        <v>29985.0</v>
      </c>
      <c r="N174" s="6">
        <v>135.5</v>
      </c>
      <c r="O174" s="8">
        <v>44257.0</v>
      </c>
      <c r="P174" s="7">
        <f t="shared" si="5"/>
        <v>84</v>
      </c>
      <c r="Q174" s="6">
        <v>0.03</v>
      </c>
      <c r="R174" s="6">
        <v>3.53</v>
      </c>
      <c r="S174" s="8"/>
      <c r="T174" s="8"/>
      <c r="U174" s="6">
        <v>21.7</v>
      </c>
      <c r="V174" s="5"/>
    </row>
    <row r="175" ht="15.75" customHeight="1">
      <c r="A175" s="4" t="s">
        <v>386</v>
      </c>
      <c r="B175" s="4" t="s">
        <v>387</v>
      </c>
      <c r="C175" s="4" t="s">
        <v>126</v>
      </c>
      <c r="D175" s="5">
        <v>2831.0</v>
      </c>
      <c r="E175" s="5">
        <v>222390.0</v>
      </c>
      <c r="F175" s="6">
        <f t="shared" si="1"/>
        <v>78.55528082</v>
      </c>
      <c r="G175" s="5">
        <v>31.0</v>
      </c>
      <c r="H175" s="6">
        <f t="shared" si="2"/>
        <v>13.9394757</v>
      </c>
      <c r="I175" s="7" t="str">
        <f t="shared" si="3"/>
        <v/>
      </c>
      <c r="J175" s="6">
        <v>-12.4</v>
      </c>
      <c r="K175" s="7" t="str">
        <f t="shared" si="4"/>
        <v/>
      </c>
      <c r="L175" s="6">
        <v>27.1</v>
      </c>
      <c r="M175" s="5">
        <v>50.0</v>
      </c>
      <c r="N175" s="6">
        <v>22.5</v>
      </c>
      <c r="O175" s="8">
        <v>44320.0</v>
      </c>
      <c r="P175" s="7">
        <f t="shared" si="5"/>
        <v>147</v>
      </c>
      <c r="Q175" s="6">
        <v>2.3</v>
      </c>
      <c r="R175" s="6">
        <v>54.75</v>
      </c>
      <c r="S175" s="8">
        <v>44543.0</v>
      </c>
      <c r="T175" s="8">
        <v>44683.0</v>
      </c>
      <c r="U175" s="6">
        <v>22.0</v>
      </c>
      <c r="V175" s="5">
        <v>6021.557</v>
      </c>
    </row>
    <row r="176" ht="15.75" customHeight="1">
      <c r="A176" s="4" t="s">
        <v>388</v>
      </c>
      <c r="B176" s="4" t="s">
        <v>389</v>
      </c>
      <c r="C176" s="4" t="s">
        <v>129</v>
      </c>
      <c r="D176" s="5">
        <v>11295.0</v>
      </c>
      <c r="E176" s="5">
        <v>2705995.0</v>
      </c>
      <c r="F176" s="6">
        <f t="shared" si="1"/>
        <v>239.5745905</v>
      </c>
      <c r="G176" s="5">
        <v>372.0</v>
      </c>
      <c r="H176" s="6">
        <f t="shared" si="2"/>
        <v>13.74725378</v>
      </c>
      <c r="I176" s="7">
        <f t="shared" si="3"/>
        <v>111</v>
      </c>
      <c r="J176" s="6">
        <v>85.1</v>
      </c>
      <c r="K176" s="7">
        <f t="shared" si="4"/>
        <v>122</v>
      </c>
      <c r="L176" s="6">
        <v>126.7</v>
      </c>
      <c r="M176" s="5">
        <v>4612.0</v>
      </c>
      <c r="N176" s="6">
        <v>170.4</v>
      </c>
      <c r="O176" s="8">
        <v>44265.0</v>
      </c>
      <c r="P176" s="7">
        <f t="shared" si="5"/>
        <v>92</v>
      </c>
      <c r="Q176" s="6">
        <v>0.44</v>
      </c>
      <c r="R176" s="6">
        <v>9.22</v>
      </c>
      <c r="S176" s="8"/>
      <c r="T176" s="8"/>
      <c r="U176" s="6">
        <v>17.5</v>
      </c>
      <c r="V176" s="5">
        <v>1561.767</v>
      </c>
    </row>
    <row r="177" ht="15.75" customHeight="1">
      <c r="A177" s="4" t="s">
        <v>390</v>
      </c>
      <c r="B177" s="4" t="s">
        <v>391</v>
      </c>
      <c r="C177" s="4" t="s">
        <v>129</v>
      </c>
      <c r="D177" s="5">
        <v>118484.0</v>
      </c>
      <c r="E177" s="5">
        <v>2.0405318E7</v>
      </c>
      <c r="F177" s="6">
        <f t="shared" si="1"/>
        <v>172.2200297</v>
      </c>
      <c r="G177" s="5">
        <v>2686.0</v>
      </c>
      <c r="H177" s="6">
        <f t="shared" si="2"/>
        <v>13.16323519</v>
      </c>
      <c r="I177" s="7">
        <f t="shared" si="3"/>
        <v>112</v>
      </c>
      <c r="J177" s="6">
        <v>114.1</v>
      </c>
      <c r="K177" s="7">
        <f t="shared" si="4"/>
        <v>95</v>
      </c>
      <c r="L177" s="6">
        <v>167.4</v>
      </c>
      <c r="M177" s="5">
        <v>44726.0</v>
      </c>
      <c r="N177" s="6">
        <v>219.2</v>
      </c>
      <c r="O177" s="8">
        <v>44272.0</v>
      </c>
      <c r="P177" s="7">
        <f t="shared" si="5"/>
        <v>99</v>
      </c>
      <c r="Q177" s="6">
        <v>0.21</v>
      </c>
      <c r="R177" s="6">
        <v>3.46</v>
      </c>
      <c r="S177" s="8"/>
      <c r="T177" s="8"/>
      <c r="U177" s="6">
        <v>18.1</v>
      </c>
      <c r="V177" s="5">
        <v>1095.042</v>
      </c>
    </row>
    <row r="178" ht="15.75" customHeight="1">
      <c r="A178" s="4" t="s">
        <v>392</v>
      </c>
      <c r="B178" s="4" t="s">
        <v>393</v>
      </c>
      <c r="C178" s="4" t="s">
        <v>52</v>
      </c>
      <c r="D178" s="5">
        <v>796095.0</v>
      </c>
      <c r="E178" s="5">
        <v>2.35824864E8</v>
      </c>
      <c r="F178" s="6">
        <f t="shared" si="1"/>
        <v>296.2270382</v>
      </c>
      <c r="G178" s="5">
        <v>30656.0</v>
      </c>
      <c r="H178" s="6">
        <f t="shared" si="2"/>
        <v>12.99947744</v>
      </c>
      <c r="I178" s="7">
        <f t="shared" si="3"/>
        <v>113</v>
      </c>
      <c r="J178" s="6">
        <v>241.4</v>
      </c>
      <c r="K178" s="7">
        <f t="shared" si="4"/>
        <v>49</v>
      </c>
      <c r="L178" s="6">
        <v>284.5</v>
      </c>
      <c r="M178" s="5">
        <v>776801.0</v>
      </c>
      <c r="N178" s="6">
        <v>329.4</v>
      </c>
      <c r="O178" s="8">
        <v>44230.0</v>
      </c>
      <c r="P178" s="7">
        <f t="shared" si="5"/>
        <v>57</v>
      </c>
      <c r="Q178" s="6">
        <v>1.32</v>
      </c>
      <c r="R178" s="6">
        <v>29.93</v>
      </c>
      <c r="S178" s="8">
        <v>44661.0</v>
      </c>
      <c r="T178" s="8"/>
      <c r="U178" s="6">
        <v>23.5</v>
      </c>
      <c r="V178" s="5">
        <v>5034.708</v>
      </c>
    </row>
    <row r="179" ht="15.75" customHeight="1">
      <c r="A179" s="4" t="s">
        <v>394</v>
      </c>
      <c r="B179" s="4" t="s">
        <v>395</v>
      </c>
      <c r="C179" s="4" t="s">
        <v>129</v>
      </c>
      <c r="D179" s="5">
        <v>267668.0</v>
      </c>
      <c r="E179" s="5">
        <v>2388997.0</v>
      </c>
      <c r="F179" s="6">
        <f t="shared" si="1"/>
        <v>8.925224532</v>
      </c>
      <c r="G179" s="5">
        <v>307.0</v>
      </c>
      <c r="H179" s="6">
        <f t="shared" si="2"/>
        <v>12.85058123</v>
      </c>
      <c r="I179" s="7">
        <f t="shared" si="3"/>
        <v>114</v>
      </c>
      <c r="J179" s="6">
        <v>66.8</v>
      </c>
      <c r="K179" s="7">
        <f t="shared" si="4"/>
        <v>141</v>
      </c>
      <c r="L179" s="6">
        <v>106.0</v>
      </c>
      <c r="M179" s="5">
        <v>2943.0</v>
      </c>
      <c r="N179" s="6">
        <v>123.2</v>
      </c>
      <c r="O179" s="8">
        <v>44278.0</v>
      </c>
      <c r="P179" s="7">
        <f t="shared" si="5"/>
        <v>105</v>
      </c>
      <c r="Q179" s="6">
        <v>0.76</v>
      </c>
      <c r="R179" s="6">
        <v>7.25</v>
      </c>
      <c r="S179" s="8"/>
      <c r="T179" s="8"/>
      <c r="U179" s="6">
        <v>23.1</v>
      </c>
      <c r="V179" s="5">
        <v>16562.413</v>
      </c>
    </row>
    <row r="180" ht="15.75" customHeight="1">
      <c r="A180" s="4" t="s">
        <v>396</v>
      </c>
      <c r="B180" s="4" t="s">
        <v>397</v>
      </c>
      <c r="C180" s="4" t="s">
        <v>126</v>
      </c>
      <c r="D180" s="5">
        <v>236.0</v>
      </c>
      <c r="E180" s="5">
        <v>17032.0</v>
      </c>
      <c r="F180" s="6">
        <f t="shared" si="1"/>
        <v>72.16949153</v>
      </c>
      <c r="G180" s="5">
        <v>2.0</v>
      </c>
      <c r="H180" s="6">
        <f t="shared" si="2"/>
        <v>11.74260216</v>
      </c>
      <c r="I180" s="7" t="str">
        <f t="shared" si="3"/>
        <v/>
      </c>
      <c r="J180" s="6">
        <v>1.1</v>
      </c>
      <c r="K180" s="7" t="str">
        <f t="shared" si="4"/>
        <v/>
      </c>
      <c r="L180" s="6">
        <v>74.1</v>
      </c>
      <c r="M180" s="5">
        <v>1.0</v>
      </c>
      <c r="N180" s="6">
        <v>7.5</v>
      </c>
      <c r="O180" s="8">
        <v>44341.0</v>
      </c>
      <c r="P180" s="7">
        <f t="shared" si="5"/>
        <v>168</v>
      </c>
      <c r="Q180" s="6">
        <v>53.94</v>
      </c>
      <c r="R180" s="6">
        <v>73.38</v>
      </c>
      <c r="S180" s="8">
        <v>44376.0</v>
      </c>
      <c r="T180" s="8">
        <v>44550.0</v>
      </c>
      <c r="U180" s="6"/>
      <c r="V180" s="5"/>
    </row>
    <row r="181" ht="15.75" customHeight="1">
      <c r="A181" s="4" t="s">
        <v>398</v>
      </c>
      <c r="B181" s="4" t="s">
        <v>399</v>
      </c>
      <c r="C181" s="4" t="s">
        <v>129</v>
      </c>
      <c r="D181" s="5">
        <v>196722.0</v>
      </c>
      <c r="E181" s="5">
        <v>1.7316452E7</v>
      </c>
      <c r="F181" s="6">
        <f t="shared" si="1"/>
        <v>88.02498958</v>
      </c>
      <c r="G181" s="5">
        <v>1971.0</v>
      </c>
      <c r="H181" s="6">
        <f t="shared" si="2"/>
        <v>11.38223927</v>
      </c>
      <c r="I181" s="7">
        <f t="shared" si="3"/>
        <v>115</v>
      </c>
      <c r="J181" s="6">
        <v>84.2</v>
      </c>
      <c r="K181" s="7">
        <f t="shared" si="4"/>
        <v>125</v>
      </c>
      <c r="L181" s="6">
        <v>124.1</v>
      </c>
      <c r="M181" s="5">
        <v>30063.0</v>
      </c>
      <c r="N181" s="6">
        <v>173.6</v>
      </c>
      <c r="O181" s="8">
        <v>44250.0</v>
      </c>
      <c r="P181" s="7">
        <f t="shared" si="5"/>
        <v>77</v>
      </c>
      <c r="Q181" s="6">
        <v>0.86</v>
      </c>
      <c r="R181" s="6">
        <v>5.3</v>
      </c>
      <c r="S181" s="8"/>
      <c r="T181" s="8"/>
      <c r="U181" s="6">
        <v>18.7</v>
      </c>
      <c r="V181" s="5">
        <v>2470.58</v>
      </c>
    </row>
    <row r="182" ht="15.75" customHeight="1">
      <c r="A182" s="4" t="s">
        <v>400</v>
      </c>
      <c r="B182" s="4" t="s">
        <v>401</v>
      </c>
      <c r="C182" s="4" t="s">
        <v>126</v>
      </c>
      <c r="D182" s="5">
        <v>650.0</v>
      </c>
      <c r="E182" s="5">
        <v>106867.0</v>
      </c>
      <c r="F182" s="6">
        <f t="shared" si="1"/>
        <v>164.4107692</v>
      </c>
      <c r="G182" s="5">
        <v>12.0</v>
      </c>
      <c r="H182" s="6">
        <f t="shared" si="2"/>
        <v>11.2289107</v>
      </c>
      <c r="I182" s="7" t="str">
        <f t="shared" si="3"/>
        <v/>
      </c>
      <c r="J182" s="6">
        <v>-31.4</v>
      </c>
      <c r="K182" s="7" t="str">
        <f t="shared" si="4"/>
        <v/>
      </c>
      <c r="L182" s="6">
        <v>32.5</v>
      </c>
      <c r="M182" s="5">
        <v>-3.0</v>
      </c>
      <c r="N182" s="6">
        <v>-3.0</v>
      </c>
      <c r="O182" s="8">
        <v>44306.0</v>
      </c>
      <c r="P182" s="7">
        <f t="shared" si="5"/>
        <v>133</v>
      </c>
      <c r="Q182" s="6">
        <v>1.26</v>
      </c>
      <c r="R182" s="6">
        <v>52.99</v>
      </c>
      <c r="S182" s="8">
        <v>44550.0</v>
      </c>
      <c r="T182" s="8">
        <v>44767.0</v>
      </c>
      <c r="U182" s="6">
        <v>22.3</v>
      </c>
      <c r="V182" s="5">
        <v>5425.621</v>
      </c>
    </row>
    <row r="183" ht="15.75" customHeight="1">
      <c r="A183" s="4" t="s">
        <v>402</v>
      </c>
      <c r="B183" s="4" t="s">
        <v>403</v>
      </c>
      <c r="C183" s="4" t="s">
        <v>129</v>
      </c>
      <c r="D183" s="5">
        <v>28051.0</v>
      </c>
      <c r="E183" s="5">
        <v>1674916.0</v>
      </c>
      <c r="F183" s="6">
        <f t="shared" si="1"/>
        <v>59.70967167</v>
      </c>
      <c r="G183" s="5">
        <v>183.0</v>
      </c>
      <c r="H183" s="6">
        <f t="shared" si="2"/>
        <v>10.92592106</v>
      </c>
      <c r="I183" s="7">
        <f t="shared" si="3"/>
        <v>116</v>
      </c>
      <c r="J183" s="6">
        <v>65.1</v>
      </c>
      <c r="K183" s="7">
        <f t="shared" si="4"/>
        <v>142</v>
      </c>
      <c r="L183" s="6">
        <v>85.6</v>
      </c>
      <c r="M183" s="5">
        <v>1735.0</v>
      </c>
      <c r="N183" s="6">
        <v>103.6</v>
      </c>
      <c r="O183" s="8">
        <v>44271.0</v>
      </c>
      <c r="P183" s="7">
        <f t="shared" si="5"/>
        <v>98</v>
      </c>
      <c r="Q183" s="6">
        <v>6.84</v>
      </c>
      <c r="R183" s="6">
        <v>12.14</v>
      </c>
      <c r="S183" s="8"/>
      <c r="T183" s="8"/>
      <c r="U183" s="6">
        <v>22.4</v>
      </c>
      <c r="V183" s="5">
        <v>22604.873</v>
      </c>
    </row>
    <row r="184" ht="15.75" customHeight="1">
      <c r="A184" s="4" t="s">
        <v>404</v>
      </c>
      <c r="B184" s="4" t="s">
        <v>405</v>
      </c>
      <c r="C184" s="4" t="s">
        <v>129</v>
      </c>
      <c r="D184" s="5">
        <v>1886068.0</v>
      </c>
      <c r="E184" s="5">
        <v>4.68742E7</v>
      </c>
      <c r="F184" s="6">
        <f t="shared" si="1"/>
        <v>24.85286851</v>
      </c>
      <c r="G184" s="5">
        <v>5046.0</v>
      </c>
      <c r="H184" s="6">
        <f t="shared" si="2"/>
        <v>10.76498372</v>
      </c>
      <c r="I184" s="7">
        <f t="shared" si="3"/>
        <v>117</v>
      </c>
      <c r="J184" s="6">
        <v>205.1</v>
      </c>
      <c r="K184" s="7">
        <f t="shared" si="4"/>
        <v>58</v>
      </c>
      <c r="L184" s="6">
        <v>271.1</v>
      </c>
      <c r="M184" s="5">
        <v>157818.0</v>
      </c>
      <c r="N184" s="6">
        <v>336.7</v>
      </c>
      <c r="O184" s="8">
        <v>44266.0</v>
      </c>
      <c r="P184" s="7">
        <f t="shared" si="5"/>
        <v>93</v>
      </c>
      <c r="Q184" s="6">
        <v>0.26</v>
      </c>
      <c r="R184" s="6">
        <v>2.63</v>
      </c>
      <c r="S184" s="8"/>
      <c r="T184" s="8"/>
      <c r="U184" s="6">
        <v>19.7</v>
      </c>
      <c r="V184" s="5">
        <v>4466.507</v>
      </c>
    </row>
    <row r="185" ht="15.75" customHeight="1">
      <c r="A185" s="4" t="s">
        <v>406</v>
      </c>
      <c r="B185" s="4" t="s">
        <v>407</v>
      </c>
      <c r="C185" s="4" t="s">
        <v>129</v>
      </c>
      <c r="D185" s="5">
        <v>26338.0</v>
      </c>
      <c r="E185" s="5">
        <v>1.3776702E7</v>
      </c>
      <c r="F185" s="6">
        <f t="shared" si="1"/>
        <v>523.0732022</v>
      </c>
      <c r="G185" s="5">
        <v>1468.0</v>
      </c>
      <c r="H185" s="6">
        <f t="shared" si="2"/>
        <v>10.65567071</v>
      </c>
      <c r="I185" s="7">
        <f t="shared" si="3"/>
        <v>118</v>
      </c>
      <c r="J185" s="6">
        <v>124.2</v>
      </c>
      <c r="K185" s="7">
        <f t="shared" si="4"/>
        <v>91</v>
      </c>
      <c r="L185" s="6">
        <v>175.1</v>
      </c>
      <c r="M185" s="5">
        <v>34481.0</v>
      </c>
      <c r="N185" s="6">
        <v>250.3</v>
      </c>
      <c r="O185" s="8">
        <v>44243.0</v>
      </c>
      <c r="P185" s="7">
        <f t="shared" si="5"/>
        <v>70</v>
      </c>
      <c r="Q185" s="6">
        <v>1.66</v>
      </c>
      <c r="R185" s="6">
        <v>39.45</v>
      </c>
      <c r="S185" s="8">
        <v>44588.0</v>
      </c>
      <c r="T185" s="8">
        <v>44927.0</v>
      </c>
      <c r="U185" s="6">
        <v>20.3</v>
      </c>
      <c r="V185" s="5">
        <v>1854.211</v>
      </c>
    </row>
    <row r="186" ht="15.75" customHeight="1">
      <c r="A186" s="4" t="s">
        <v>408</v>
      </c>
      <c r="B186" s="4" t="s">
        <v>409</v>
      </c>
      <c r="C186" s="4" t="s">
        <v>129</v>
      </c>
      <c r="D186" s="5">
        <v>580367.0</v>
      </c>
      <c r="E186" s="5">
        <v>5.4027484E7</v>
      </c>
      <c r="F186" s="6">
        <f t="shared" si="1"/>
        <v>93.09192976</v>
      </c>
      <c r="G186" s="5">
        <v>5689.0</v>
      </c>
      <c r="H186" s="6">
        <f t="shared" si="2"/>
        <v>10.52982589</v>
      </c>
      <c r="I186" s="7">
        <f t="shared" si="3"/>
        <v>119</v>
      </c>
      <c r="J186" s="6">
        <v>129.6</v>
      </c>
      <c r="K186" s="7">
        <f t="shared" si="4"/>
        <v>87</v>
      </c>
      <c r="L186" s="6">
        <v>214.9</v>
      </c>
      <c r="M186" s="5">
        <v>181639.0</v>
      </c>
      <c r="N186" s="6">
        <v>336.2</v>
      </c>
      <c r="O186" s="8">
        <v>44260.0</v>
      </c>
      <c r="P186" s="7">
        <f t="shared" si="5"/>
        <v>87</v>
      </c>
      <c r="Q186" s="6">
        <v>0.69</v>
      </c>
      <c r="R186" s="6">
        <v>7.69</v>
      </c>
      <c r="S186" s="8"/>
      <c r="T186" s="8"/>
      <c r="U186" s="6">
        <v>20.0</v>
      </c>
      <c r="V186" s="5">
        <v>2993.028</v>
      </c>
    </row>
    <row r="187" ht="15.75" customHeight="1">
      <c r="A187" s="4" t="s">
        <v>410</v>
      </c>
      <c r="B187" s="4" t="s">
        <v>411</v>
      </c>
      <c r="C187" s="4" t="s">
        <v>52</v>
      </c>
      <c r="D187" s="5">
        <v>14874.0</v>
      </c>
      <c r="E187" s="5">
        <v>1341298.0</v>
      </c>
      <c r="F187" s="6">
        <f t="shared" si="1"/>
        <v>90.17735646</v>
      </c>
      <c r="G187" s="5">
        <v>138.0</v>
      </c>
      <c r="H187" s="6">
        <f t="shared" si="2"/>
        <v>10.2885414</v>
      </c>
      <c r="I187" s="7">
        <f t="shared" si="3"/>
        <v>120</v>
      </c>
      <c r="J187" s="6">
        <v>94.4</v>
      </c>
      <c r="K187" s="7">
        <f t="shared" si="4"/>
        <v>114</v>
      </c>
      <c r="L187" s="6">
        <v>128.2</v>
      </c>
      <c r="M187" s="5">
        <v>2120.0</v>
      </c>
      <c r="N187" s="6">
        <v>158.1</v>
      </c>
      <c r="O187" s="8">
        <v>44300.0</v>
      </c>
      <c r="P187" s="7">
        <f t="shared" si="5"/>
        <v>127</v>
      </c>
      <c r="Q187" s="6">
        <v>1.92</v>
      </c>
      <c r="R187" s="6">
        <v>39.74</v>
      </c>
      <c r="S187" s="8">
        <v>44712.0</v>
      </c>
      <c r="T187" s="8"/>
      <c r="U187" s="6">
        <v>18.0</v>
      </c>
      <c r="V187" s="5">
        <v>6570.102</v>
      </c>
    </row>
    <row r="188" ht="15.75" customHeight="1">
      <c r="A188" s="4" t="s">
        <v>412</v>
      </c>
      <c r="B188" s="4" t="s">
        <v>413</v>
      </c>
      <c r="C188" s="4" t="s">
        <v>52</v>
      </c>
      <c r="D188" s="5">
        <v>236800.0</v>
      </c>
      <c r="E188" s="5">
        <v>7529477.0</v>
      </c>
      <c r="F188" s="6">
        <f t="shared" si="1"/>
        <v>31.79677787</v>
      </c>
      <c r="G188" s="5">
        <v>671.0</v>
      </c>
      <c r="H188" s="6">
        <f t="shared" si="2"/>
        <v>8.911641539</v>
      </c>
      <c r="I188" s="7">
        <f t="shared" si="3"/>
        <v>121</v>
      </c>
      <c r="J188" s="6">
        <v>108.6</v>
      </c>
      <c r="K188" s="7">
        <f t="shared" si="4"/>
        <v>101</v>
      </c>
      <c r="L188" s="6">
        <v>298.4</v>
      </c>
      <c r="M188" s="5">
        <v>35363.0</v>
      </c>
      <c r="N188" s="6">
        <v>469.7</v>
      </c>
      <c r="O188" s="8">
        <v>44272.0</v>
      </c>
      <c r="P188" s="7">
        <f t="shared" si="5"/>
        <v>99</v>
      </c>
      <c r="Q188" s="6">
        <v>7.04</v>
      </c>
      <c r="R188" s="6">
        <v>41.16</v>
      </c>
      <c r="S188" s="8">
        <v>44579.0</v>
      </c>
      <c r="T188" s="8"/>
      <c r="U188" s="6">
        <v>24.4</v>
      </c>
      <c r="V188" s="5">
        <v>6397.36</v>
      </c>
    </row>
    <row r="189" ht="15.75" customHeight="1">
      <c r="A189" s="4" t="s">
        <v>414</v>
      </c>
      <c r="B189" s="4" t="s">
        <v>415</v>
      </c>
      <c r="C189" s="4" t="s">
        <v>126</v>
      </c>
      <c r="D189" s="5">
        <v>26.0</v>
      </c>
      <c r="E189" s="5">
        <v>11335.0</v>
      </c>
      <c r="F189" s="6">
        <f t="shared" si="1"/>
        <v>435.9615385</v>
      </c>
      <c r="G189" s="5">
        <v>1.0</v>
      </c>
      <c r="H189" s="6">
        <f t="shared" si="2"/>
        <v>8.822232025</v>
      </c>
      <c r="I189" s="7" t="str">
        <f t="shared" si="3"/>
        <v/>
      </c>
      <c r="J189" s="6">
        <v>52.7</v>
      </c>
      <c r="K189" s="7" t="str">
        <f t="shared" si="4"/>
        <v/>
      </c>
      <c r="L189" s="6">
        <v>90.0</v>
      </c>
      <c r="M189" s="5">
        <v>14.0</v>
      </c>
      <c r="N189" s="6">
        <v>123.3</v>
      </c>
      <c r="O189" s="8">
        <v>44313.0</v>
      </c>
      <c r="P189" s="7">
        <f t="shared" si="5"/>
        <v>140</v>
      </c>
      <c r="Q189" s="6"/>
      <c r="R189" s="6">
        <v>51.91</v>
      </c>
      <c r="S189" s="8">
        <v>44491.0</v>
      </c>
      <c r="T189" s="8">
        <v>44763.0</v>
      </c>
      <c r="U189" s="6"/>
      <c r="V189" s="5">
        <v>3575.104</v>
      </c>
    </row>
    <row r="190" ht="15.75" customHeight="1">
      <c r="A190" s="4" t="s">
        <v>416</v>
      </c>
      <c r="B190" s="4" t="s">
        <v>417</v>
      </c>
      <c r="C190" s="4" t="s">
        <v>52</v>
      </c>
      <c r="D190" s="5">
        <v>9572900.0</v>
      </c>
      <c r="E190" s="5">
        <v>1.42588736E9</v>
      </c>
      <c r="F190" s="6">
        <f t="shared" si="1"/>
        <v>148.9504079</v>
      </c>
      <c r="G190" s="5">
        <v>122304.0</v>
      </c>
      <c r="H190" s="6">
        <f t="shared" si="2"/>
        <v>8.577395623</v>
      </c>
      <c r="I190" s="7">
        <f t="shared" si="3"/>
        <v>122</v>
      </c>
      <c r="J190" s="6">
        <v>22.5</v>
      </c>
      <c r="K190" s="7">
        <f t="shared" si="4"/>
        <v>152</v>
      </c>
      <c r="L190" s="6">
        <v>86.3</v>
      </c>
      <c r="M190" s="5">
        <v>2643474.0</v>
      </c>
      <c r="N190" s="6">
        <v>185.4</v>
      </c>
      <c r="O190" s="8">
        <v>44180.0</v>
      </c>
      <c r="P190" s="7">
        <f t="shared" si="5"/>
        <v>7</v>
      </c>
      <c r="Q190" s="6"/>
      <c r="R190" s="6">
        <v>84.68</v>
      </c>
      <c r="S190" s="8">
        <v>44420.0</v>
      </c>
      <c r="T190" s="8">
        <v>44454.0</v>
      </c>
      <c r="U190" s="6">
        <v>38.7</v>
      </c>
      <c r="V190" s="5">
        <v>15308.712</v>
      </c>
    </row>
    <row r="191" ht="15.75" customHeight="1">
      <c r="A191" s="4" t="s">
        <v>418</v>
      </c>
      <c r="B191" s="4" t="s">
        <v>419</v>
      </c>
      <c r="C191" s="4" t="s">
        <v>129</v>
      </c>
      <c r="D191" s="5">
        <v>36125.0</v>
      </c>
      <c r="E191" s="5">
        <v>2105580.0</v>
      </c>
      <c r="F191" s="6">
        <f t="shared" si="1"/>
        <v>58.28595156</v>
      </c>
      <c r="G191" s="5">
        <v>177.0</v>
      </c>
      <c r="H191" s="6">
        <f t="shared" si="2"/>
        <v>8.406234862</v>
      </c>
      <c r="I191" s="7">
        <f t="shared" si="3"/>
        <v>123</v>
      </c>
      <c r="J191" s="6">
        <v>93.9</v>
      </c>
      <c r="K191" s="7">
        <f t="shared" si="4"/>
        <v>115</v>
      </c>
      <c r="L191" s="6">
        <v>137.2</v>
      </c>
      <c r="M191" s="5">
        <v>3946.0</v>
      </c>
      <c r="N191" s="6">
        <v>187.4</v>
      </c>
      <c r="O191" s="8">
        <v>44328.0</v>
      </c>
      <c r="P191" s="7">
        <f t="shared" si="5"/>
        <v>155</v>
      </c>
      <c r="Q191" s="6">
        <v>0.05</v>
      </c>
      <c r="R191" s="6">
        <v>1.1</v>
      </c>
      <c r="S191" s="8"/>
      <c r="T191" s="8"/>
      <c r="U191" s="6">
        <v>19.4</v>
      </c>
      <c r="V191" s="5">
        <v>1548.675</v>
      </c>
    </row>
    <row r="192" ht="15.75" customHeight="1">
      <c r="A192" s="4" t="s">
        <v>420</v>
      </c>
      <c r="B192" s="4" t="s">
        <v>421</v>
      </c>
      <c r="C192" s="4" t="s">
        <v>126</v>
      </c>
      <c r="D192" s="5">
        <v>21.0</v>
      </c>
      <c r="E192" s="5">
        <v>12691.0</v>
      </c>
      <c r="F192" s="6">
        <f t="shared" si="1"/>
        <v>604.3333333</v>
      </c>
      <c r="G192" s="5">
        <v>1.0</v>
      </c>
      <c r="H192" s="6">
        <f t="shared" si="2"/>
        <v>7.879599716</v>
      </c>
      <c r="I192" s="7" t="str">
        <f t="shared" si="3"/>
        <v/>
      </c>
      <c r="J192" s="6">
        <v>2.5</v>
      </c>
      <c r="K192" s="7" t="str">
        <f t="shared" si="4"/>
        <v/>
      </c>
      <c r="L192" s="6">
        <v>34.5</v>
      </c>
      <c r="M192" s="5">
        <v>2.0</v>
      </c>
      <c r="N192" s="6">
        <v>19.0</v>
      </c>
      <c r="O192" s="8">
        <v>44295.0</v>
      </c>
      <c r="P192" s="7">
        <f t="shared" si="5"/>
        <v>122</v>
      </c>
      <c r="Q192" s="6">
        <v>14.29</v>
      </c>
      <c r="R192" s="6">
        <v>57.13</v>
      </c>
      <c r="S192" s="8">
        <v>44397.0</v>
      </c>
      <c r="T192" s="8">
        <v>44977.0</v>
      </c>
      <c r="U192" s="6"/>
      <c r="V192" s="5">
        <v>12895.635</v>
      </c>
    </row>
    <row r="193" ht="15.75" customHeight="1">
      <c r="A193" s="4" t="s">
        <v>422</v>
      </c>
      <c r="B193" s="4" t="s">
        <v>423</v>
      </c>
      <c r="C193" s="4" t="s">
        <v>129</v>
      </c>
      <c r="D193" s="5">
        <v>637657.0</v>
      </c>
      <c r="E193" s="5">
        <v>1.7597508E7</v>
      </c>
      <c r="F193" s="6">
        <f t="shared" si="1"/>
        <v>27.59713765</v>
      </c>
      <c r="G193" s="5">
        <v>1361.0</v>
      </c>
      <c r="H193" s="6">
        <f t="shared" si="2"/>
        <v>7.734049617</v>
      </c>
      <c r="I193" s="7">
        <f t="shared" si="3"/>
        <v>124</v>
      </c>
      <c r="J193" s="6">
        <v>105.4</v>
      </c>
      <c r="K193" s="7">
        <f t="shared" si="4"/>
        <v>104</v>
      </c>
      <c r="L193" s="6">
        <v>157.1</v>
      </c>
      <c r="M193" s="5">
        <v>38692.0</v>
      </c>
      <c r="N193" s="6">
        <v>219.9</v>
      </c>
      <c r="O193" s="8">
        <v>44303.0</v>
      </c>
      <c r="P193" s="7">
        <f t="shared" si="5"/>
        <v>130</v>
      </c>
      <c r="Q193" s="6">
        <v>0.4</v>
      </c>
      <c r="R193" s="6">
        <v>4.6</v>
      </c>
      <c r="S193" s="8"/>
      <c r="T193" s="8"/>
      <c r="U193" s="6">
        <v>16.8</v>
      </c>
      <c r="V193" s="5"/>
    </row>
    <row r="194" ht="15.75" customHeight="1">
      <c r="A194" s="4" t="s">
        <v>424</v>
      </c>
      <c r="B194" s="4" t="s">
        <v>425</v>
      </c>
      <c r="C194" s="4" t="s">
        <v>129</v>
      </c>
      <c r="D194" s="5">
        <v>241038.0</v>
      </c>
      <c r="E194" s="5">
        <v>4.7249588E7</v>
      </c>
      <c r="F194" s="6">
        <f t="shared" si="1"/>
        <v>196.0254732</v>
      </c>
      <c r="G194" s="5">
        <v>3632.0</v>
      </c>
      <c r="H194" s="6">
        <f t="shared" si="2"/>
        <v>7.686839513</v>
      </c>
      <c r="I194" s="7">
        <f t="shared" si="3"/>
        <v>125</v>
      </c>
      <c r="J194" s="6">
        <v>127.7</v>
      </c>
      <c r="K194" s="7">
        <f t="shared" si="4"/>
        <v>89</v>
      </c>
      <c r="L194" s="6">
        <v>200.4</v>
      </c>
      <c r="M194" s="5">
        <v>130219.0</v>
      </c>
      <c r="N194" s="6">
        <v>275.6</v>
      </c>
      <c r="O194" s="8">
        <v>44265.0</v>
      </c>
      <c r="P194" s="7">
        <f t="shared" si="5"/>
        <v>92</v>
      </c>
      <c r="Q194" s="6">
        <v>0.01</v>
      </c>
      <c r="R194" s="6">
        <v>2.98</v>
      </c>
      <c r="S194" s="8"/>
      <c r="T194" s="8"/>
      <c r="U194" s="6">
        <v>16.4</v>
      </c>
      <c r="V194" s="5">
        <v>1697.707</v>
      </c>
    </row>
    <row r="195" ht="15.75" customHeight="1">
      <c r="A195" s="4" t="s">
        <v>426</v>
      </c>
      <c r="B195" s="4" t="s">
        <v>427</v>
      </c>
      <c r="C195" s="4" t="s">
        <v>71</v>
      </c>
      <c r="D195" s="5">
        <v>27750.0</v>
      </c>
      <c r="E195" s="5">
        <v>1.1585003E7</v>
      </c>
      <c r="F195" s="6">
        <f t="shared" si="1"/>
        <v>417.4775856</v>
      </c>
      <c r="G195" s="5">
        <v>860.0</v>
      </c>
      <c r="H195" s="6">
        <f t="shared" si="2"/>
        <v>7.423390395</v>
      </c>
      <c r="I195" s="7">
        <f t="shared" si="3"/>
        <v>126</v>
      </c>
      <c r="J195" s="6">
        <v>127.8</v>
      </c>
      <c r="K195" s="7">
        <f t="shared" si="4"/>
        <v>88</v>
      </c>
      <c r="L195" s="6">
        <v>164.6</v>
      </c>
      <c r="M195" s="5">
        <v>22525.0</v>
      </c>
      <c r="N195" s="6">
        <v>194.4</v>
      </c>
      <c r="O195" s="8">
        <v>44393.0</v>
      </c>
      <c r="P195" s="7">
        <f t="shared" si="5"/>
        <v>220</v>
      </c>
      <c r="Q195" s="6"/>
      <c r="R195" s="6">
        <v>0.64</v>
      </c>
      <c r="S195" s="8"/>
      <c r="T195" s="8"/>
      <c r="U195" s="6">
        <v>24.3</v>
      </c>
      <c r="V195" s="5">
        <v>1653.173</v>
      </c>
    </row>
    <row r="196" ht="15.75" customHeight="1">
      <c r="A196" s="4" t="s">
        <v>428</v>
      </c>
      <c r="B196" s="4" t="s">
        <v>429</v>
      </c>
      <c r="C196" s="4" t="s">
        <v>129</v>
      </c>
      <c r="D196" s="5">
        <v>475442.0</v>
      </c>
      <c r="E196" s="5">
        <v>2.7914542E7</v>
      </c>
      <c r="F196" s="6">
        <f t="shared" si="1"/>
        <v>58.71282302</v>
      </c>
      <c r="G196" s="5">
        <v>1974.0</v>
      </c>
      <c r="H196" s="6">
        <f t="shared" si="2"/>
        <v>7.071582976</v>
      </c>
      <c r="I196" s="7">
        <f t="shared" si="3"/>
        <v>127</v>
      </c>
      <c r="J196" s="6">
        <v>112.9</v>
      </c>
      <c r="K196" s="7">
        <f t="shared" si="4"/>
        <v>97</v>
      </c>
      <c r="L196" s="6">
        <v>161.1</v>
      </c>
      <c r="M196" s="5">
        <v>60909.0</v>
      </c>
      <c r="N196" s="6">
        <v>218.2</v>
      </c>
      <c r="O196" s="8">
        <v>44298.0</v>
      </c>
      <c r="P196" s="7">
        <f t="shared" si="5"/>
        <v>125</v>
      </c>
      <c r="Q196" s="6">
        <v>0.08</v>
      </c>
      <c r="R196" s="6">
        <v>2.36</v>
      </c>
      <c r="S196" s="8"/>
      <c r="T196" s="8"/>
      <c r="U196" s="6">
        <v>18.8</v>
      </c>
      <c r="V196" s="5">
        <v>3364.926</v>
      </c>
    </row>
    <row r="197" ht="15.75" customHeight="1">
      <c r="A197" s="4" t="s">
        <v>430</v>
      </c>
      <c r="B197" s="4" t="s">
        <v>431</v>
      </c>
      <c r="C197" s="4" t="s">
        <v>129</v>
      </c>
      <c r="D197" s="5">
        <v>801590.0</v>
      </c>
      <c r="E197" s="5">
        <v>3.296952E7</v>
      </c>
      <c r="F197" s="6">
        <f t="shared" si="1"/>
        <v>41.13015382</v>
      </c>
      <c r="G197" s="5">
        <v>2252.0</v>
      </c>
      <c r="H197" s="6">
        <f t="shared" si="2"/>
        <v>6.83055137</v>
      </c>
      <c r="I197" s="7">
        <f t="shared" si="3"/>
        <v>128</v>
      </c>
      <c r="J197" s="6">
        <v>147.4</v>
      </c>
      <c r="K197" s="7">
        <f t="shared" si="4"/>
        <v>80</v>
      </c>
      <c r="L197" s="6">
        <v>219.3</v>
      </c>
      <c r="M197" s="5">
        <v>108554.0</v>
      </c>
      <c r="N197" s="6">
        <v>329.3</v>
      </c>
      <c r="O197" s="8">
        <v>44263.0</v>
      </c>
      <c r="P197" s="7">
        <f t="shared" si="5"/>
        <v>90</v>
      </c>
      <c r="Q197" s="6">
        <v>0.29</v>
      </c>
      <c r="R197" s="6">
        <v>18.46</v>
      </c>
      <c r="S197" s="8">
        <v>44892.0</v>
      </c>
      <c r="T197" s="8"/>
      <c r="U197" s="6">
        <v>17.7</v>
      </c>
      <c r="V197" s="5">
        <v>1136.103</v>
      </c>
    </row>
    <row r="198" ht="15.75" customHeight="1">
      <c r="A198" s="4" t="s">
        <v>432</v>
      </c>
      <c r="B198" s="4" t="s">
        <v>433</v>
      </c>
      <c r="C198" s="4" t="s">
        <v>126</v>
      </c>
      <c r="D198" s="5">
        <v>462840.0</v>
      </c>
      <c r="E198" s="5">
        <v>1.0142625E7</v>
      </c>
      <c r="F198" s="6">
        <f t="shared" si="1"/>
        <v>21.91389033</v>
      </c>
      <c r="G198" s="5">
        <v>670.0</v>
      </c>
      <c r="H198" s="6">
        <f t="shared" si="2"/>
        <v>6.605784992</v>
      </c>
      <c r="I198" s="7">
        <f t="shared" si="3"/>
        <v>129</v>
      </c>
      <c r="J198" s="6">
        <v>93.1</v>
      </c>
      <c r="K198" s="7">
        <f t="shared" si="4"/>
        <v>116</v>
      </c>
      <c r="L198" s="6">
        <v>139.3</v>
      </c>
      <c r="M198" s="5">
        <v>17707.0</v>
      </c>
      <c r="N198" s="6">
        <v>174.6</v>
      </c>
      <c r="O198" s="8">
        <v>44286.0</v>
      </c>
      <c r="P198" s="7">
        <f t="shared" si="5"/>
        <v>113</v>
      </c>
      <c r="Q198" s="6"/>
      <c r="R198" s="6">
        <v>2.17</v>
      </c>
      <c r="S198" s="8"/>
      <c r="T198" s="8"/>
      <c r="U198" s="6">
        <v>22.6</v>
      </c>
      <c r="V198" s="5">
        <v>3823.194</v>
      </c>
    </row>
    <row r="199" ht="15.75" customHeight="1">
      <c r="A199" s="4" t="s">
        <v>434</v>
      </c>
      <c r="B199" s="4" t="s">
        <v>435</v>
      </c>
      <c r="C199" s="4" t="s">
        <v>129</v>
      </c>
      <c r="D199" s="5">
        <v>342000.0</v>
      </c>
      <c r="E199" s="5">
        <v>5970430.0</v>
      </c>
      <c r="F199" s="6">
        <f t="shared" si="1"/>
        <v>17.45739766</v>
      </c>
      <c r="G199" s="5">
        <v>389.0</v>
      </c>
      <c r="H199" s="6">
        <f t="shared" si="2"/>
        <v>6.515443611</v>
      </c>
      <c r="I199" s="7">
        <f t="shared" si="3"/>
        <v>130</v>
      </c>
      <c r="J199" s="6">
        <v>69.3</v>
      </c>
      <c r="K199" s="7">
        <f t="shared" si="4"/>
        <v>139</v>
      </c>
      <c r="L199" s="6">
        <v>99.6</v>
      </c>
      <c r="M199" s="5">
        <v>8034.0</v>
      </c>
      <c r="N199" s="6">
        <v>134.6</v>
      </c>
      <c r="O199" s="8">
        <v>44300.0</v>
      </c>
      <c r="P199" s="7">
        <f t="shared" si="5"/>
        <v>127</v>
      </c>
      <c r="Q199" s="6"/>
      <c r="R199" s="6">
        <v>2.28</v>
      </c>
      <c r="S199" s="8"/>
      <c r="T199" s="8"/>
      <c r="U199" s="6">
        <v>19.0</v>
      </c>
      <c r="V199" s="5">
        <v>4881.406</v>
      </c>
    </row>
    <row r="200" ht="15.75" customHeight="1">
      <c r="A200" s="4" t="s">
        <v>436</v>
      </c>
      <c r="B200" s="4" t="s">
        <v>437</v>
      </c>
      <c r="C200" s="4" t="s">
        <v>52</v>
      </c>
      <c r="D200" s="5">
        <v>527968.0</v>
      </c>
      <c r="E200" s="5">
        <v>3.3696612E7</v>
      </c>
      <c r="F200" s="6">
        <f t="shared" si="1"/>
        <v>63.82320898</v>
      </c>
      <c r="G200" s="5">
        <v>2159.0</v>
      </c>
      <c r="H200" s="6">
        <f t="shared" si="2"/>
        <v>6.407172329</v>
      </c>
      <c r="I200" s="7">
        <f t="shared" si="3"/>
        <v>131</v>
      </c>
      <c r="J200" s="6">
        <v>109.6</v>
      </c>
      <c r="K200" s="7">
        <f t="shared" si="4"/>
        <v>100</v>
      </c>
      <c r="L200" s="6">
        <v>146.5</v>
      </c>
      <c r="M200" s="5">
        <v>61178.0</v>
      </c>
      <c r="N200" s="6">
        <v>181.6</v>
      </c>
      <c r="O200" s="8">
        <v>44325.0</v>
      </c>
      <c r="P200" s="7">
        <f t="shared" si="5"/>
        <v>152</v>
      </c>
      <c r="Q200" s="6"/>
      <c r="R200" s="6">
        <v>0.64</v>
      </c>
      <c r="S200" s="8"/>
      <c r="T200" s="8"/>
      <c r="U200" s="6">
        <v>20.3</v>
      </c>
      <c r="V200" s="5">
        <v>1479.147</v>
      </c>
    </row>
    <row r="201" ht="15.75" customHeight="1">
      <c r="A201" s="4" t="s">
        <v>438</v>
      </c>
      <c r="B201" s="4" t="s">
        <v>439</v>
      </c>
      <c r="C201" s="4" t="s">
        <v>129</v>
      </c>
      <c r="D201" s="5">
        <v>1104300.0</v>
      </c>
      <c r="E201" s="5">
        <v>1.23379928E8</v>
      </c>
      <c r="F201" s="6">
        <f t="shared" si="1"/>
        <v>111.7268206</v>
      </c>
      <c r="G201" s="5">
        <v>7574.0</v>
      </c>
      <c r="H201" s="6">
        <f t="shared" si="2"/>
        <v>6.13876189</v>
      </c>
      <c r="I201" s="7">
        <f t="shared" si="3"/>
        <v>132</v>
      </c>
      <c r="J201" s="6">
        <v>144.1</v>
      </c>
      <c r="K201" s="7">
        <f t="shared" si="4"/>
        <v>81</v>
      </c>
      <c r="L201" s="6">
        <v>234.6</v>
      </c>
      <c r="M201" s="5">
        <v>456002.0</v>
      </c>
      <c r="N201" s="6">
        <v>369.6</v>
      </c>
      <c r="O201" s="8">
        <v>44294.0</v>
      </c>
      <c r="P201" s="7">
        <f t="shared" si="5"/>
        <v>121</v>
      </c>
      <c r="Q201" s="6"/>
      <c r="R201" s="6"/>
      <c r="S201" s="8"/>
      <c r="T201" s="8"/>
      <c r="U201" s="6">
        <v>19.8</v>
      </c>
      <c r="V201" s="5">
        <v>1729.927</v>
      </c>
    </row>
    <row r="202" ht="15.75" customHeight="1">
      <c r="A202" s="4" t="s">
        <v>440</v>
      </c>
      <c r="B202" s="4" t="s">
        <v>441</v>
      </c>
      <c r="C202" s="4" t="s">
        <v>129</v>
      </c>
      <c r="D202" s="5">
        <v>111369.0</v>
      </c>
      <c r="E202" s="5">
        <v>5302690.0</v>
      </c>
      <c r="F202" s="6">
        <f t="shared" si="1"/>
        <v>47.61369861</v>
      </c>
      <c r="G202" s="5">
        <v>294.0</v>
      </c>
      <c r="H202" s="6">
        <f t="shared" si="2"/>
        <v>5.544355789</v>
      </c>
      <c r="I202" s="7">
        <f t="shared" si="3"/>
        <v>133</v>
      </c>
      <c r="J202" s="6">
        <v>61.4</v>
      </c>
      <c r="K202" s="7">
        <f t="shared" si="4"/>
        <v>145</v>
      </c>
      <c r="L202" s="6">
        <v>99.3</v>
      </c>
      <c r="M202" s="5">
        <v>8088.0</v>
      </c>
      <c r="N202" s="6">
        <v>152.5</v>
      </c>
      <c r="O202" s="8">
        <v>44328.0</v>
      </c>
      <c r="P202" s="7">
        <f t="shared" si="5"/>
        <v>155</v>
      </c>
      <c r="Q202" s="6">
        <v>0.05</v>
      </c>
      <c r="R202" s="6">
        <v>14.24</v>
      </c>
      <c r="S202" s="8">
        <v>44808.0</v>
      </c>
      <c r="T202" s="8">
        <v>44906.0</v>
      </c>
      <c r="U202" s="6">
        <v>19.2</v>
      </c>
      <c r="V202" s="5">
        <v>752.788</v>
      </c>
    </row>
    <row r="203" ht="15.75" customHeight="1">
      <c r="A203" s="4" t="s">
        <v>442</v>
      </c>
      <c r="B203" s="4" t="s">
        <v>443</v>
      </c>
      <c r="C203" s="4" t="s">
        <v>129</v>
      </c>
      <c r="D203" s="5">
        <v>1246700.0</v>
      </c>
      <c r="E203" s="5">
        <v>3.5588996E7</v>
      </c>
      <c r="F203" s="6">
        <f t="shared" si="1"/>
        <v>28.54655972</v>
      </c>
      <c r="G203" s="5">
        <v>1937.0</v>
      </c>
      <c r="H203" s="6">
        <f t="shared" si="2"/>
        <v>5.442693579</v>
      </c>
      <c r="I203" s="7">
        <f t="shared" si="3"/>
        <v>134</v>
      </c>
      <c r="J203" s="6">
        <v>87.7</v>
      </c>
      <c r="K203" s="7">
        <f t="shared" si="4"/>
        <v>119</v>
      </c>
      <c r="L203" s="6">
        <v>122.4</v>
      </c>
      <c r="M203" s="5">
        <v>53119.0</v>
      </c>
      <c r="N203" s="6">
        <v>149.3</v>
      </c>
      <c r="O203" s="8">
        <v>44257.0</v>
      </c>
      <c r="P203" s="7">
        <f t="shared" si="5"/>
        <v>84</v>
      </c>
      <c r="Q203" s="6">
        <v>1.53</v>
      </c>
      <c r="R203" s="6">
        <v>11.04</v>
      </c>
      <c r="S203" s="8"/>
      <c r="T203" s="8"/>
      <c r="U203" s="6">
        <v>16.8</v>
      </c>
      <c r="V203" s="5">
        <v>5819.495</v>
      </c>
    </row>
    <row r="204" ht="15.75" customHeight="1">
      <c r="A204" s="4" t="s">
        <v>444</v>
      </c>
      <c r="B204" s="4" t="s">
        <v>445</v>
      </c>
      <c r="C204" s="4" t="s">
        <v>129</v>
      </c>
      <c r="D204" s="5">
        <v>587041.0</v>
      </c>
      <c r="E204" s="5">
        <v>2.9611718E7</v>
      </c>
      <c r="F204" s="6">
        <f t="shared" si="1"/>
        <v>50.44233367</v>
      </c>
      <c r="G204" s="5">
        <v>1428.0</v>
      </c>
      <c r="H204" s="6">
        <f t="shared" si="2"/>
        <v>4.822415234</v>
      </c>
      <c r="I204" s="7">
        <f t="shared" si="3"/>
        <v>135</v>
      </c>
      <c r="J204" s="6">
        <v>105.6</v>
      </c>
      <c r="K204" s="7">
        <f t="shared" si="4"/>
        <v>103</v>
      </c>
      <c r="L204" s="6">
        <v>157.1</v>
      </c>
      <c r="M204" s="5">
        <v>63253.0</v>
      </c>
      <c r="N204" s="6">
        <v>213.6</v>
      </c>
      <c r="O204" s="8">
        <v>44328.0</v>
      </c>
      <c r="P204" s="7">
        <f t="shared" si="5"/>
        <v>155</v>
      </c>
      <c r="Q204" s="6"/>
      <c r="R204" s="6">
        <v>1.83</v>
      </c>
      <c r="S204" s="8"/>
      <c r="T204" s="8"/>
      <c r="U204" s="6">
        <v>19.6</v>
      </c>
      <c r="V204" s="5">
        <v>1416.44</v>
      </c>
    </row>
    <row r="205" ht="15.75" customHeight="1">
      <c r="A205" s="4" t="s">
        <v>446</v>
      </c>
      <c r="B205" s="4" t="s">
        <v>447</v>
      </c>
      <c r="C205" s="4" t="s">
        <v>129</v>
      </c>
      <c r="D205" s="5">
        <v>238533.0</v>
      </c>
      <c r="E205" s="5">
        <v>3.347587E7</v>
      </c>
      <c r="F205" s="6">
        <f t="shared" si="1"/>
        <v>140.3406237</v>
      </c>
      <c r="G205" s="5">
        <v>1462.0</v>
      </c>
      <c r="H205" s="6">
        <f t="shared" si="2"/>
        <v>4.367324882</v>
      </c>
      <c r="I205" s="7">
        <f t="shared" si="3"/>
        <v>136</v>
      </c>
      <c r="J205" s="6">
        <v>64.7</v>
      </c>
      <c r="K205" s="7">
        <f t="shared" si="4"/>
        <v>143</v>
      </c>
      <c r="L205" s="6">
        <v>133.9</v>
      </c>
      <c r="M205" s="5">
        <v>92457.0</v>
      </c>
      <c r="N205" s="6">
        <v>276.2</v>
      </c>
      <c r="O205" s="8">
        <v>44257.0</v>
      </c>
      <c r="P205" s="7">
        <f t="shared" si="5"/>
        <v>84</v>
      </c>
      <c r="Q205" s="6">
        <v>1.14</v>
      </c>
      <c r="R205" s="6">
        <v>6.97</v>
      </c>
      <c r="S205" s="8"/>
      <c r="T205" s="8"/>
      <c r="U205" s="6">
        <v>21.1</v>
      </c>
      <c r="V205" s="5">
        <v>4227.63</v>
      </c>
    </row>
    <row r="206" ht="15.75" customHeight="1">
      <c r="A206" s="4" t="s">
        <v>448</v>
      </c>
      <c r="B206" s="4" t="s">
        <v>449</v>
      </c>
      <c r="C206" s="4" t="s">
        <v>126</v>
      </c>
      <c r="D206" s="5">
        <v>12189.0</v>
      </c>
      <c r="E206" s="5">
        <v>326744.0</v>
      </c>
      <c r="F206" s="6">
        <f t="shared" si="1"/>
        <v>26.80646485</v>
      </c>
      <c r="G206" s="5">
        <v>14.0</v>
      </c>
      <c r="H206" s="6">
        <f t="shared" si="2"/>
        <v>4.284699949</v>
      </c>
      <c r="I206" s="7" t="str">
        <f t="shared" si="3"/>
        <v/>
      </c>
      <c r="J206" s="6">
        <v>-49.9</v>
      </c>
      <c r="K206" s="7" t="str">
        <f t="shared" si="4"/>
        <v/>
      </c>
      <c r="L206" s="6">
        <v>-31.9</v>
      </c>
      <c r="M206" s="5">
        <v>-215.0</v>
      </c>
      <c r="N206" s="6">
        <v>-65.8</v>
      </c>
      <c r="O206" s="8">
        <v>44349.0</v>
      </c>
      <c r="P206" s="7">
        <f t="shared" si="5"/>
        <v>176</v>
      </c>
      <c r="Q206" s="6"/>
      <c r="R206" s="6">
        <v>15.43</v>
      </c>
      <c r="S206" s="8"/>
      <c r="T206" s="8"/>
      <c r="U206" s="6">
        <v>23.1</v>
      </c>
      <c r="V206" s="5">
        <v>2921.909</v>
      </c>
    </row>
    <row r="207" ht="15.75" customHeight="1">
      <c r="A207" s="4" t="s">
        <v>450</v>
      </c>
      <c r="B207" s="4" t="s">
        <v>451</v>
      </c>
      <c r="C207" s="4" t="s">
        <v>71</v>
      </c>
      <c r="D207" s="5">
        <v>130000.0</v>
      </c>
      <c r="E207" s="5">
        <v>6948395.0</v>
      </c>
      <c r="F207" s="6">
        <f t="shared" si="1"/>
        <v>53.44919231</v>
      </c>
      <c r="G207" s="5">
        <v>245.0</v>
      </c>
      <c r="H207" s="6">
        <f t="shared" si="2"/>
        <v>3.525994132</v>
      </c>
      <c r="I207" s="7">
        <f t="shared" si="3"/>
        <v>137</v>
      </c>
      <c r="J207" s="6">
        <v>255.4</v>
      </c>
      <c r="K207" s="7">
        <f t="shared" si="4"/>
        <v>45</v>
      </c>
      <c r="L207" s="6">
        <v>253.6</v>
      </c>
      <c r="M207" s="5">
        <v>20308.0</v>
      </c>
      <c r="N207" s="6">
        <v>292.3</v>
      </c>
      <c r="O207" s="8">
        <v>44257.0</v>
      </c>
      <c r="P207" s="7">
        <f t="shared" si="5"/>
        <v>84</v>
      </c>
      <c r="Q207" s="6"/>
      <c r="R207" s="6">
        <v>41.82</v>
      </c>
      <c r="S207" s="8">
        <v>44594.0</v>
      </c>
      <c r="T207" s="8">
        <v>44715.0</v>
      </c>
      <c r="U207" s="6">
        <v>27.3</v>
      </c>
      <c r="V207" s="5">
        <v>5321.444</v>
      </c>
    </row>
    <row r="208" ht="15.75" customHeight="1">
      <c r="A208" s="4" t="s">
        <v>452</v>
      </c>
      <c r="B208" s="4" t="s">
        <v>453</v>
      </c>
      <c r="C208" s="4" t="s">
        <v>129</v>
      </c>
      <c r="D208" s="5">
        <v>245857.0</v>
      </c>
      <c r="E208" s="5">
        <v>1.3859349E7</v>
      </c>
      <c r="F208" s="6">
        <f t="shared" si="1"/>
        <v>56.37158592</v>
      </c>
      <c r="G208" s="5">
        <v>468.0</v>
      </c>
      <c r="H208" s="6">
        <f t="shared" si="2"/>
        <v>3.376781983</v>
      </c>
      <c r="I208" s="7">
        <f t="shared" si="3"/>
        <v>138</v>
      </c>
      <c r="J208" s="6">
        <v>76.1</v>
      </c>
      <c r="K208" s="7">
        <f t="shared" si="4"/>
        <v>132</v>
      </c>
      <c r="L208" s="6">
        <v>116.7</v>
      </c>
      <c r="M208" s="5">
        <v>23356.0</v>
      </c>
      <c r="N208" s="6">
        <v>168.5</v>
      </c>
      <c r="O208" s="8">
        <v>44274.0</v>
      </c>
      <c r="P208" s="7">
        <f t="shared" si="5"/>
        <v>101</v>
      </c>
      <c r="Q208" s="6">
        <v>1.24</v>
      </c>
      <c r="R208" s="6">
        <v>6.68</v>
      </c>
      <c r="S208" s="8"/>
      <c r="T208" s="8"/>
      <c r="U208" s="6">
        <v>19.0</v>
      </c>
      <c r="V208" s="5">
        <v>1998.926</v>
      </c>
    </row>
    <row r="209" ht="15.75" customHeight="1">
      <c r="A209" s="4" t="s">
        <v>454</v>
      </c>
      <c r="B209" s="4" t="s">
        <v>455</v>
      </c>
      <c r="C209" s="4" t="s">
        <v>129</v>
      </c>
      <c r="D209" s="5">
        <v>56785.0</v>
      </c>
      <c r="E209" s="5">
        <v>8848700.0</v>
      </c>
      <c r="F209" s="6">
        <f t="shared" si="1"/>
        <v>155.8281236</v>
      </c>
      <c r="G209" s="5">
        <v>290.0</v>
      </c>
      <c r="H209" s="6">
        <f t="shared" si="2"/>
        <v>3.277317572</v>
      </c>
      <c r="I209" s="7">
        <f t="shared" si="3"/>
        <v>140</v>
      </c>
      <c r="J209" s="6">
        <v>84.2</v>
      </c>
      <c r="K209" s="7">
        <f t="shared" si="4"/>
        <v>125</v>
      </c>
      <c r="L209" s="6">
        <v>131.5</v>
      </c>
      <c r="M209" s="5">
        <v>16364.0</v>
      </c>
      <c r="N209" s="6">
        <v>184.9</v>
      </c>
      <c r="O209" s="8">
        <v>44265.0</v>
      </c>
      <c r="P209" s="7">
        <f t="shared" si="5"/>
        <v>92</v>
      </c>
      <c r="Q209" s="6">
        <v>0.86</v>
      </c>
      <c r="R209" s="6">
        <v>11.54</v>
      </c>
      <c r="S209" s="8"/>
      <c r="T209" s="8"/>
      <c r="U209" s="6">
        <v>19.4</v>
      </c>
      <c r="V209" s="5">
        <v>1429.813</v>
      </c>
    </row>
    <row r="210" ht="15.75" customHeight="1">
      <c r="A210" s="4" t="s">
        <v>456</v>
      </c>
      <c r="B210" s="4" t="s">
        <v>457</v>
      </c>
      <c r="C210" s="4" t="s">
        <v>129</v>
      </c>
      <c r="D210" s="5">
        <v>1240192.0</v>
      </c>
      <c r="E210" s="5">
        <v>2.2593598E7</v>
      </c>
      <c r="F210" s="6">
        <f t="shared" si="1"/>
        <v>18.21782272</v>
      </c>
      <c r="G210" s="5">
        <v>743.0</v>
      </c>
      <c r="H210" s="6">
        <f t="shared" si="2"/>
        <v>3.288542179</v>
      </c>
      <c r="I210" s="7">
        <f t="shared" si="3"/>
        <v>139</v>
      </c>
      <c r="J210" s="6">
        <v>104.3</v>
      </c>
      <c r="K210" s="7">
        <f t="shared" si="4"/>
        <v>105</v>
      </c>
      <c r="L210" s="6">
        <v>152.5</v>
      </c>
      <c r="M210" s="5">
        <v>47273.0</v>
      </c>
      <c r="N210" s="6">
        <v>209.2</v>
      </c>
      <c r="O210" s="8">
        <v>44286.0</v>
      </c>
      <c r="P210" s="7">
        <f t="shared" si="5"/>
        <v>113</v>
      </c>
      <c r="Q210" s="6">
        <v>0.21</v>
      </c>
      <c r="R210" s="6">
        <v>1.74</v>
      </c>
      <c r="S210" s="8"/>
      <c r="T210" s="8"/>
      <c r="U210" s="6">
        <v>16.4</v>
      </c>
      <c r="V210" s="5">
        <v>2014.306</v>
      </c>
    </row>
    <row r="211" ht="15.75" customHeight="1">
      <c r="A211" s="4" t="s">
        <v>458</v>
      </c>
      <c r="B211" s="4" t="s">
        <v>459</v>
      </c>
      <c r="C211" s="4" t="s">
        <v>129</v>
      </c>
      <c r="D211" s="5">
        <v>322463.0</v>
      </c>
      <c r="E211" s="5">
        <v>2.8160548E7</v>
      </c>
      <c r="F211" s="6">
        <f t="shared" si="1"/>
        <v>87.32954789</v>
      </c>
      <c r="G211" s="5">
        <v>835.0</v>
      </c>
      <c r="H211" s="6">
        <f t="shared" si="2"/>
        <v>2.965141161</v>
      </c>
      <c r="I211" s="7">
        <f t="shared" si="3"/>
        <v>141</v>
      </c>
      <c r="J211" s="6">
        <v>72.1</v>
      </c>
      <c r="K211" s="7">
        <f t="shared" si="4"/>
        <v>137</v>
      </c>
      <c r="L211" s="6">
        <v>109.8</v>
      </c>
      <c r="M211" s="5">
        <v>38962.0</v>
      </c>
      <c r="N211" s="6">
        <v>138.4</v>
      </c>
      <c r="O211" s="8">
        <v>44257.0</v>
      </c>
      <c r="P211" s="7">
        <f t="shared" si="5"/>
        <v>84</v>
      </c>
      <c r="Q211" s="6"/>
      <c r="R211" s="6">
        <v>7.68</v>
      </c>
      <c r="S211" s="8"/>
      <c r="T211" s="8"/>
      <c r="U211" s="6">
        <v>18.7</v>
      </c>
      <c r="V211" s="5">
        <v>3601.006</v>
      </c>
    </row>
    <row r="212" ht="15.75" customHeight="1">
      <c r="A212" s="4" t="s">
        <v>460</v>
      </c>
      <c r="B212" s="4" t="s">
        <v>461</v>
      </c>
      <c r="C212" s="4" t="s">
        <v>52</v>
      </c>
      <c r="D212" s="5">
        <v>447400.0</v>
      </c>
      <c r="E212" s="5">
        <v>3.4627648E7</v>
      </c>
      <c r="F212" s="6">
        <f t="shared" si="1"/>
        <v>77.39751453</v>
      </c>
      <c r="G212" s="5">
        <v>1016.0</v>
      </c>
      <c r="H212" s="6">
        <f t="shared" si="2"/>
        <v>2.934071641</v>
      </c>
      <c r="I212" s="7">
        <f t="shared" si="3"/>
        <v>142</v>
      </c>
      <c r="J212" s="6">
        <v>100.3</v>
      </c>
      <c r="K212" s="7">
        <f t="shared" si="4"/>
        <v>108</v>
      </c>
      <c r="L212" s="6">
        <v>141.2</v>
      </c>
      <c r="M212" s="5">
        <v>79222.0</v>
      </c>
      <c r="N212" s="6">
        <v>228.8</v>
      </c>
      <c r="O212" s="8">
        <v>44287.0</v>
      </c>
      <c r="P212" s="7">
        <f t="shared" si="5"/>
        <v>114</v>
      </c>
      <c r="Q212" s="6">
        <v>2.9</v>
      </c>
      <c r="R212" s="6">
        <v>32.06</v>
      </c>
      <c r="S212" s="8">
        <v>44864.0</v>
      </c>
      <c r="T212" s="8"/>
      <c r="U212" s="6">
        <v>28.2</v>
      </c>
      <c r="V212" s="5">
        <v>6253.104</v>
      </c>
    </row>
    <row r="213" ht="15.75" customHeight="1">
      <c r="A213" s="4" t="s">
        <v>462</v>
      </c>
      <c r="B213" s="4" t="s">
        <v>463</v>
      </c>
      <c r="C213" s="4" t="s">
        <v>129</v>
      </c>
      <c r="D213" s="5">
        <v>117600.0</v>
      </c>
      <c r="E213" s="5">
        <v>3684041.0</v>
      </c>
      <c r="F213" s="6">
        <f t="shared" si="1"/>
        <v>31.32687925</v>
      </c>
      <c r="G213" s="5">
        <v>103.0</v>
      </c>
      <c r="H213" s="6">
        <f t="shared" si="2"/>
        <v>2.795842934</v>
      </c>
      <c r="I213" s="7">
        <f t="shared" si="3"/>
        <v>143</v>
      </c>
      <c r="J213" s="6">
        <v>78.8</v>
      </c>
      <c r="K213" s="7">
        <f t="shared" si="4"/>
        <v>129</v>
      </c>
      <c r="L213" s="6">
        <v>152.6</v>
      </c>
      <c r="M213" s="5">
        <v>8520.0</v>
      </c>
      <c r="N213" s="6">
        <v>231.3</v>
      </c>
      <c r="O213" s="8"/>
      <c r="P213" s="7" t="str">
        <f t="shared" si="5"/>
        <v/>
      </c>
      <c r="Q213" s="6"/>
      <c r="R213" s="6"/>
      <c r="S213" s="8"/>
      <c r="T213" s="8"/>
      <c r="U213" s="6">
        <v>19.3</v>
      </c>
      <c r="V213" s="5">
        <v>1510.459</v>
      </c>
    </row>
    <row r="214" ht="15.75" customHeight="1">
      <c r="A214" s="4" t="s">
        <v>464</v>
      </c>
      <c r="B214" s="4" t="s">
        <v>465</v>
      </c>
      <c r="C214" s="4" t="s">
        <v>52</v>
      </c>
      <c r="D214" s="5">
        <v>47000.0</v>
      </c>
      <c r="E214" s="5">
        <v>782457.0</v>
      </c>
      <c r="F214" s="6">
        <f t="shared" si="1"/>
        <v>16.64802128</v>
      </c>
      <c r="G214" s="5">
        <v>21.0</v>
      </c>
      <c r="H214" s="6">
        <f t="shared" si="2"/>
        <v>2.683853554</v>
      </c>
      <c r="I214" s="7" t="str">
        <f t="shared" si="3"/>
        <v/>
      </c>
      <c r="J214" s="6">
        <v>-84.1</v>
      </c>
      <c r="K214" s="7" t="str">
        <f t="shared" si="4"/>
        <v/>
      </c>
      <c r="L214" s="6">
        <v>-101.5</v>
      </c>
      <c r="M214" s="5">
        <v>-514.0</v>
      </c>
      <c r="N214" s="6">
        <v>-65.7</v>
      </c>
      <c r="O214" s="8">
        <v>44282.0</v>
      </c>
      <c r="P214" s="7">
        <f t="shared" si="5"/>
        <v>109</v>
      </c>
      <c r="Q214" s="6"/>
      <c r="R214" s="6">
        <v>72.22</v>
      </c>
      <c r="S214" s="8">
        <v>44401.0</v>
      </c>
      <c r="T214" s="8">
        <v>44500.0</v>
      </c>
      <c r="U214" s="6">
        <v>28.6</v>
      </c>
      <c r="V214" s="5">
        <v>8708.597</v>
      </c>
    </row>
    <row r="215" ht="15.75" customHeight="1">
      <c r="A215" s="4" t="s">
        <v>466</v>
      </c>
      <c r="B215" s="4" t="s">
        <v>467</v>
      </c>
      <c r="C215" s="4" t="s">
        <v>129</v>
      </c>
      <c r="D215" s="5">
        <v>622984.0</v>
      </c>
      <c r="E215" s="5">
        <v>5579148.0</v>
      </c>
      <c r="F215" s="6">
        <f t="shared" si="1"/>
        <v>8.955523737</v>
      </c>
      <c r="G215" s="5">
        <v>113.0</v>
      </c>
      <c r="H215" s="6">
        <f t="shared" si="2"/>
        <v>2.02539886</v>
      </c>
      <c r="I215" s="7">
        <f t="shared" si="3"/>
        <v>144</v>
      </c>
      <c r="J215" s="6">
        <v>71.0</v>
      </c>
      <c r="K215" s="7">
        <f t="shared" si="4"/>
        <v>138</v>
      </c>
      <c r="L215" s="6">
        <v>121.3</v>
      </c>
      <c r="M215" s="5">
        <v>9763.0</v>
      </c>
      <c r="N215" s="6">
        <v>175.0</v>
      </c>
      <c r="O215" s="8">
        <v>44328.0</v>
      </c>
      <c r="P215" s="7">
        <f t="shared" si="5"/>
        <v>155</v>
      </c>
      <c r="Q215" s="6"/>
      <c r="R215" s="6">
        <v>6.0</v>
      </c>
      <c r="S215" s="8"/>
      <c r="T215" s="8"/>
      <c r="U215" s="6">
        <v>18.3</v>
      </c>
      <c r="V215" s="5">
        <v>661.24</v>
      </c>
    </row>
    <row r="216" ht="15.75" customHeight="1">
      <c r="A216" s="4" t="s">
        <v>468</v>
      </c>
      <c r="B216" s="4" t="s">
        <v>469</v>
      </c>
      <c r="C216" s="4" t="s">
        <v>129</v>
      </c>
      <c r="D216" s="5">
        <v>274000.0</v>
      </c>
      <c r="E216" s="5">
        <v>2.2673764E7</v>
      </c>
      <c r="F216" s="6">
        <f t="shared" si="1"/>
        <v>82.7509635</v>
      </c>
      <c r="G216" s="5">
        <v>400.0</v>
      </c>
      <c r="H216" s="6">
        <f t="shared" si="2"/>
        <v>1.764153495</v>
      </c>
      <c r="I216" s="7">
        <f t="shared" si="3"/>
        <v>145</v>
      </c>
      <c r="J216" s="6">
        <v>84.5</v>
      </c>
      <c r="K216" s="7">
        <f t="shared" si="4"/>
        <v>123</v>
      </c>
      <c r="L216" s="6">
        <v>135.3</v>
      </c>
      <c r="M216" s="5">
        <v>44116.0</v>
      </c>
      <c r="N216" s="6">
        <v>194.6</v>
      </c>
      <c r="O216" s="8">
        <v>44349.0</v>
      </c>
      <c r="P216" s="7">
        <f t="shared" si="5"/>
        <v>176</v>
      </c>
      <c r="Q216" s="6"/>
      <c r="R216" s="6">
        <v>2.86</v>
      </c>
      <c r="S216" s="8"/>
      <c r="T216" s="8"/>
      <c r="U216" s="6">
        <v>17.6</v>
      </c>
      <c r="V216" s="5">
        <v>1703.102</v>
      </c>
    </row>
    <row r="217" ht="15.75" customHeight="1">
      <c r="A217" s="4" t="s">
        <v>470</v>
      </c>
      <c r="B217" s="4" t="s">
        <v>471</v>
      </c>
      <c r="C217" s="4" t="s">
        <v>129</v>
      </c>
      <c r="D217" s="5">
        <v>2344858.0</v>
      </c>
      <c r="E217" s="5">
        <v>9.9010216E7</v>
      </c>
      <c r="F217" s="6">
        <f t="shared" si="1"/>
        <v>42.22439738</v>
      </c>
      <c r="G217" s="5">
        <v>1474.0</v>
      </c>
      <c r="H217" s="6">
        <f t="shared" si="2"/>
        <v>1.488735263</v>
      </c>
      <c r="I217" s="7">
        <f t="shared" si="3"/>
        <v>146</v>
      </c>
      <c r="J217" s="6">
        <v>114.3</v>
      </c>
      <c r="K217" s="7">
        <f t="shared" si="4"/>
        <v>94</v>
      </c>
      <c r="L217" s="6">
        <v>201.9</v>
      </c>
      <c r="M217" s="5">
        <v>328453.0</v>
      </c>
      <c r="N217" s="6">
        <v>331.7</v>
      </c>
      <c r="O217" s="8">
        <v>44305.0</v>
      </c>
      <c r="P217" s="7">
        <f t="shared" si="5"/>
        <v>132</v>
      </c>
      <c r="Q217" s="6"/>
      <c r="R217" s="6">
        <v>0.12</v>
      </c>
      <c r="S217" s="8"/>
      <c r="T217" s="8"/>
      <c r="U217" s="6">
        <v>17.0</v>
      </c>
      <c r="V217" s="5">
        <v>808.133</v>
      </c>
    </row>
    <row r="218" ht="15.75" customHeight="1">
      <c r="A218" s="4" t="s">
        <v>472</v>
      </c>
      <c r="B218" s="4" t="s">
        <v>473</v>
      </c>
      <c r="C218" s="4" t="s">
        <v>129</v>
      </c>
      <c r="D218" s="5">
        <v>71740.0</v>
      </c>
      <c r="E218" s="5">
        <v>8605723.0</v>
      </c>
      <c r="F218" s="6">
        <f t="shared" si="1"/>
        <v>119.957109</v>
      </c>
      <c r="G218" s="5">
        <v>125.0</v>
      </c>
      <c r="H218" s="6">
        <f t="shared" si="2"/>
        <v>1.45252177</v>
      </c>
      <c r="I218" s="7">
        <f t="shared" si="3"/>
        <v>147</v>
      </c>
      <c r="J218" s="6">
        <v>75.8</v>
      </c>
      <c r="K218" s="7">
        <f t="shared" si="4"/>
        <v>134</v>
      </c>
      <c r="L218" s="6">
        <v>113.5</v>
      </c>
      <c r="M218" s="5">
        <v>14104.0</v>
      </c>
      <c r="N218" s="6">
        <v>163.9</v>
      </c>
      <c r="O218" s="8">
        <v>44270.0</v>
      </c>
      <c r="P218" s="7">
        <f t="shared" si="5"/>
        <v>97</v>
      </c>
      <c r="Q218" s="6">
        <v>0.18</v>
      </c>
      <c r="R218" s="6">
        <v>4.2</v>
      </c>
      <c r="S218" s="8">
        <v>45046.0</v>
      </c>
      <c r="T218" s="8"/>
      <c r="U218" s="6">
        <v>19.1</v>
      </c>
      <c r="V218" s="5">
        <v>1390.3</v>
      </c>
    </row>
    <row r="219" ht="15.75" customHeight="1">
      <c r="A219" s="4" t="s">
        <v>474</v>
      </c>
      <c r="B219" s="4" t="s">
        <v>475</v>
      </c>
      <c r="C219" s="4" t="s">
        <v>129</v>
      </c>
      <c r="D219" s="5">
        <v>923768.0</v>
      </c>
      <c r="E219" s="5">
        <v>2.18541216E8</v>
      </c>
      <c r="F219" s="6">
        <f t="shared" si="1"/>
        <v>236.5758675</v>
      </c>
      <c r="G219" s="5">
        <v>3155.0</v>
      </c>
      <c r="H219" s="6">
        <f t="shared" si="2"/>
        <v>1.443663606</v>
      </c>
      <c r="I219" s="7">
        <f t="shared" si="3"/>
        <v>148</v>
      </c>
      <c r="J219" s="6">
        <v>126.6</v>
      </c>
      <c r="K219" s="7">
        <f t="shared" si="4"/>
        <v>90</v>
      </c>
      <c r="L219" s="6">
        <v>184.0</v>
      </c>
      <c r="M219" s="5">
        <v>532746.0</v>
      </c>
      <c r="N219" s="6">
        <v>243.8</v>
      </c>
      <c r="O219" s="8">
        <v>44260.0</v>
      </c>
      <c r="P219" s="7">
        <f t="shared" si="5"/>
        <v>87</v>
      </c>
      <c r="Q219" s="6">
        <v>0.53</v>
      </c>
      <c r="R219" s="6">
        <v>2.05</v>
      </c>
      <c r="S219" s="8"/>
      <c r="T219" s="8"/>
      <c r="U219" s="6">
        <v>18.1</v>
      </c>
      <c r="V219" s="5">
        <v>5338.454</v>
      </c>
    </row>
    <row r="220" ht="15.75" customHeight="1">
      <c r="A220" s="4" t="s">
        <v>476</v>
      </c>
      <c r="B220" s="4" t="s">
        <v>477</v>
      </c>
      <c r="C220" s="4" t="s">
        <v>129</v>
      </c>
      <c r="D220" s="5">
        <v>619745.0</v>
      </c>
      <c r="E220" s="5">
        <v>1.0913172E7</v>
      </c>
      <c r="F220" s="6">
        <f t="shared" si="1"/>
        <v>17.60913279</v>
      </c>
      <c r="G220" s="5">
        <v>147.0</v>
      </c>
      <c r="H220" s="6">
        <f t="shared" si="2"/>
        <v>1.346996089</v>
      </c>
      <c r="I220" s="7">
        <f t="shared" si="3"/>
        <v>149</v>
      </c>
      <c r="J220" s="6">
        <v>103.5</v>
      </c>
      <c r="K220" s="7">
        <f t="shared" si="4"/>
        <v>106</v>
      </c>
      <c r="L220" s="6">
        <v>141.2</v>
      </c>
      <c r="M220" s="5">
        <v>20266.0</v>
      </c>
      <c r="N220" s="6">
        <v>185.7</v>
      </c>
      <c r="O220" s="8">
        <v>44292.0</v>
      </c>
      <c r="P220" s="7">
        <f t="shared" si="5"/>
        <v>119</v>
      </c>
      <c r="Q220" s="6">
        <v>0.03</v>
      </c>
      <c r="R220" s="6">
        <v>1.66</v>
      </c>
      <c r="S220" s="8"/>
      <c r="T220" s="8"/>
      <c r="U220" s="6">
        <v>19.2</v>
      </c>
      <c r="V220" s="5">
        <v>1569.888</v>
      </c>
    </row>
    <row r="221" ht="15.75" customHeight="1">
      <c r="A221" s="4" t="s">
        <v>478</v>
      </c>
      <c r="B221" s="4" t="s">
        <v>479</v>
      </c>
      <c r="C221" s="4" t="s">
        <v>129</v>
      </c>
      <c r="D221" s="5">
        <v>883749.0</v>
      </c>
      <c r="E221" s="5">
        <v>6.5497752E7</v>
      </c>
      <c r="F221" s="6">
        <f t="shared" si="1"/>
        <v>74.11352318</v>
      </c>
      <c r="G221" s="5">
        <v>846.0</v>
      </c>
      <c r="H221" s="6">
        <f t="shared" si="2"/>
        <v>1.291647384</v>
      </c>
      <c r="I221" s="7">
        <f t="shared" si="3"/>
        <v>150</v>
      </c>
      <c r="J221" s="6">
        <v>141.4</v>
      </c>
      <c r="K221" s="7">
        <f t="shared" si="4"/>
        <v>83</v>
      </c>
      <c r="L221" s="6">
        <v>204.6</v>
      </c>
      <c r="M221" s="5">
        <v>180353.0</v>
      </c>
      <c r="N221" s="6">
        <v>275.4</v>
      </c>
      <c r="O221" s="8">
        <v>44416.0</v>
      </c>
      <c r="P221" s="7">
        <f t="shared" si="5"/>
        <v>243</v>
      </c>
      <c r="Q221" s="6"/>
      <c r="R221" s="6">
        <v>2.51</v>
      </c>
      <c r="S221" s="8"/>
      <c r="T221" s="8"/>
      <c r="U221" s="6">
        <v>17.7</v>
      </c>
      <c r="V221" s="5">
        <v>2683.304</v>
      </c>
    </row>
    <row r="222" ht="15.75" customHeight="1">
      <c r="A222" s="4" t="s">
        <v>480</v>
      </c>
      <c r="B222" s="4" t="s">
        <v>481</v>
      </c>
      <c r="C222" s="4" t="s">
        <v>52</v>
      </c>
      <c r="D222" s="5">
        <v>143100.0</v>
      </c>
      <c r="E222" s="5">
        <v>9952789.0</v>
      </c>
      <c r="F222" s="6">
        <f t="shared" si="1"/>
        <v>69.55128581</v>
      </c>
      <c r="G222" s="5">
        <v>125.0</v>
      </c>
      <c r="H222" s="6">
        <f t="shared" si="2"/>
        <v>1.255929368</v>
      </c>
      <c r="I222" s="7">
        <f t="shared" si="3"/>
        <v>151</v>
      </c>
      <c r="J222" s="6">
        <v>149.6</v>
      </c>
      <c r="K222" s="7">
        <f t="shared" si="4"/>
        <v>79</v>
      </c>
      <c r="L222" s="6">
        <v>191.4</v>
      </c>
      <c r="M222" s="5">
        <v>24079.0</v>
      </c>
      <c r="N222" s="6">
        <v>241.9</v>
      </c>
      <c r="O222" s="8">
        <v>44323.0</v>
      </c>
      <c r="P222" s="7">
        <f t="shared" si="5"/>
        <v>150</v>
      </c>
      <c r="Q222" s="6">
        <v>0.18</v>
      </c>
      <c r="R222" s="6">
        <v>29.09</v>
      </c>
      <c r="S222" s="8">
        <v>44689.0</v>
      </c>
      <c r="T222" s="8"/>
      <c r="U222" s="6">
        <v>23.3</v>
      </c>
      <c r="V222" s="5">
        <v>2896.913</v>
      </c>
    </row>
    <row r="223" ht="15.75" customHeight="1">
      <c r="A223" s="4" t="s">
        <v>482</v>
      </c>
      <c r="B223" s="4" t="s">
        <v>483</v>
      </c>
      <c r="C223" s="4" t="s">
        <v>129</v>
      </c>
      <c r="D223" s="5">
        <v>1267000.0</v>
      </c>
      <c r="E223" s="5">
        <v>2.6207982E7</v>
      </c>
      <c r="F223" s="6">
        <f t="shared" si="1"/>
        <v>20.68506867</v>
      </c>
      <c r="G223" s="5">
        <v>315.0</v>
      </c>
      <c r="H223" s="6">
        <f t="shared" si="2"/>
        <v>1.201923902</v>
      </c>
      <c r="I223" s="7">
        <f t="shared" si="3"/>
        <v>153</v>
      </c>
      <c r="J223" s="6">
        <v>95.2</v>
      </c>
      <c r="K223" s="7">
        <f t="shared" si="4"/>
        <v>113</v>
      </c>
      <c r="L223" s="6">
        <v>139.1</v>
      </c>
      <c r="M223" s="5">
        <v>54094.0</v>
      </c>
      <c r="N223" s="6">
        <v>206.4</v>
      </c>
      <c r="O223" s="8">
        <v>44284.0</v>
      </c>
      <c r="P223" s="7">
        <f t="shared" si="5"/>
        <v>111</v>
      </c>
      <c r="Q223" s="6">
        <v>0.12</v>
      </c>
      <c r="R223" s="6">
        <v>1.77</v>
      </c>
      <c r="S223" s="8"/>
      <c r="T223" s="8"/>
      <c r="U223" s="6">
        <v>15.1</v>
      </c>
      <c r="V223" s="5">
        <v>926.0</v>
      </c>
    </row>
    <row r="224" ht="15.75" customHeight="1">
      <c r="A224" s="4" t="s">
        <v>484</v>
      </c>
      <c r="B224" s="4" t="s">
        <v>485</v>
      </c>
      <c r="C224" s="4" t="s">
        <v>129</v>
      </c>
      <c r="D224" s="5">
        <v>112622.0</v>
      </c>
      <c r="E224" s="5">
        <v>1.3352864E7</v>
      </c>
      <c r="F224" s="6">
        <f t="shared" si="1"/>
        <v>118.5635489</v>
      </c>
      <c r="G224" s="5">
        <v>163.0</v>
      </c>
      <c r="H224" s="6">
        <f t="shared" si="2"/>
        <v>1.220711901</v>
      </c>
      <c r="I224" s="7">
        <f t="shared" si="3"/>
        <v>152</v>
      </c>
      <c r="J224" s="6">
        <v>76.1</v>
      </c>
      <c r="K224" s="7">
        <f t="shared" si="4"/>
        <v>132</v>
      </c>
      <c r="L224" s="6">
        <v>123.6</v>
      </c>
      <c r="M224" s="5">
        <v>23715.0</v>
      </c>
      <c r="N224" s="6">
        <v>177.6</v>
      </c>
      <c r="O224" s="8">
        <v>44328.0</v>
      </c>
      <c r="P224" s="7">
        <f t="shared" si="5"/>
        <v>155</v>
      </c>
      <c r="Q224" s="6">
        <v>0.07</v>
      </c>
      <c r="R224" s="6">
        <v>9.88</v>
      </c>
      <c r="S224" s="8"/>
      <c r="T224" s="8"/>
      <c r="U224" s="6">
        <v>18.8</v>
      </c>
      <c r="V224" s="5">
        <v>2064.236</v>
      </c>
    </row>
    <row r="225" ht="15.75" customHeight="1">
      <c r="A225" s="4" t="s">
        <v>486</v>
      </c>
      <c r="B225" s="4" t="s">
        <v>487</v>
      </c>
      <c r="C225" s="4" t="s">
        <v>129</v>
      </c>
      <c r="D225" s="5">
        <v>1284000.0</v>
      </c>
      <c r="E225" s="5">
        <v>1.7723312E7</v>
      </c>
      <c r="F225" s="6">
        <f t="shared" si="1"/>
        <v>13.80320249</v>
      </c>
      <c r="G225" s="5">
        <v>194.0</v>
      </c>
      <c r="H225" s="6">
        <f t="shared" si="2"/>
        <v>1.094603537</v>
      </c>
      <c r="I225" s="7">
        <f t="shared" si="3"/>
        <v>154</v>
      </c>
      <c r="J225" s="6">
        <v>100.2</v>
      </c>
      <c r="K225" s="7">
        <f t="shared" si="4"/>
        <v>109</v>
      </c>
      <c r="L225" s="6">
        <v>160.3</v>
      </c>
      <c r="M225" s="5">
        <v>39515.0</v>
      </c>
      <c r="N225" s="6">
        <v>223.0</v>
      </c>
      <c r="O225" s="8">
        <v>44357.0</v>
      </c>
      <c r="P225" s="7">
        <f t="shared" si="5"/>
        <v>184</v>
      </c>
      <c r="Q225" s="6"/>
      <c r="R225" s="6">
        <v>0.46</v>
      </c>
      <c r="S225" s="8"/>
      <c r="T225" s="8"/>
      <c r="U225" s="6">
        <v>16.7</v>
      </c>
      <c r="V225" s="5">
        <v>1768.153</v>
      </c>
    </row>
    <row r="226" ht="15.75" customHeight="1">
      <c r="A226" s="4" t="s">
        <v>488</v>
      </c>
      <c r="B226" s="4" t="s">
        <v>489</v>
      </c>
      <c r="C226" s="4" t="s">
        <v>129</v>
      </c>
      <c r="D226" s="5">
        <v>27834.0</v>
      </c>
      <c r="E226" s="5">
        <v>1.2889583E7</v>
      </c>
      <c r="F226" s="6">
        <f t="shared" si="1"/>
        <v>463.0876985</v>
      </c>
      <c r="G226" s="5">
        <v>15.0</v>
      </c>
      <c r="H226" s="6">
        <f t="shared" si="2"/>
        <v>0.1163730433</v>
      </c>
      <c r="I226" s="7">
        <f t="shared" si="3"/>
        <v>155</v>
      </c>
      <c r="J226" s="6">
        <v>98.4</v>
      </c>
      <c r="K226" s="7">
        <f t="shared" si="4"/>
        <v>110</v>
      </c>
      <c r="L226" s="6">
        <v>145.4</v>
      </c>
      <c r="M226" s="5">
        <v>28897.0</v>
      </c>
      <c r="N226" s="6">
        <v>224.2</v>
      </c>
      <c r="O226" s="8">
        <v>44488.0</v>
      </c>
      <c r="P226" s="7">
        <f t="shared" si="5"/>
        <v>315</v>
      </c>
      <c r="Q226" s="6"/>
      <c r="R226" s="6">
        <v>0.03</v>
      </c>
      <c r="S226" s="8"/>
      <c r="T226" s="8"/>
      <c r="U226" s="6">
        <v>17.5</v>
      </c>
      <c r="V226" s="5">
        <v>702.225</v>
      </c>
    </row>
    <row r="227" ht="15.75" customHeight="1">
      <c r="A227" s="4" t="s">
        <v>490</v>
      </c>
      <c r="B227" s="4" t="s">
        <v>491</v>
      </c>
      <c r="C227" s="4" t="s">
        <v>36</v>
      </c>
      <c r="D227" s="5">
        <v>12173.0</v>
      </c>
      <c r="E227" s="5">
        <v>3801.0</v>
      </c>
      <c r="F227" s="6">
        <f t="shared" si="1"/>
        <v>0.3122484186</v>
      </c>
      <c r="G227" s="5">
        <v>0.0</v>
      </c>
      <c r="H227" s="6">
        <f t="shared" si="2"/>
        <v>0</v>
      </c>
      <c r="I227" s="7" t="str">
        <f t="shared" si="3"/>
        <v/>
      </c>
      <c r="J227" s="6">
        <v>38.4</v>
      </c>
      <c r="K227" s="7" t="str">
        <f t="shared" si="4"/>
        <v/>
      </c>
      <c r="L227" s="6">
        <v>100.0</v>
      </c>
      <c r="M227" s="5">
        <v>3.0</v>
      </c>
      <c r="N227" s="6">
        <v>78.7</v>
      </c>
      <c r="O227" s="8">
        <v>44235.0</v>
      </c>
      <c r="P227" s="7">
        <f t="shared" si="5"/>
        <v>62</v>
      </c>
      <c r="Q227" s="6">
        <v>46.7</v>
      </c>
      <c r="R227" s="6">
        <v>46.7</v>
      </c>
      <c r="S227" s="8"/>
      <c r="T227" s="8"/>
      <c r="U227" s="6"/>
      <c r="V227" s="5"/>
    </row>
    <row r="228" ht="15.75" customHeight="1">
      <c r="A228" s="4" t="s">
        <v>492</v>
      </c>
      <c r="B228" s="4" t="s">
        <v>493</v>
      </c>
      <c r="C228" s="4" t="s">
        <v>126</v>
      </c>
      <c r="D228" s="5">
        <v>49.0</v>
      </c>
      <c r="E228" s="5">
        <v>47.0</v>
      </c>
      <c r="F228" s="6">
        <f t="shared" si="1"/>
        <v>0.9591836735</v>
      </c>
      <c r="G228" s="5">
        <v>0.0</v>
      </c>
      <c r="H228" s="6">
        <f t="shared" si="2"/>
        <v>0</v>
      </c>
      <c r="I228" s="7" t="str">
        <f t="shared" si="3"/>
        <v/>
      </c>
      <c r="J228" s="6">
        <v>8.5</v>
      </c>
      <c r="K228" s="7" t="str">
        <f t="shared" si="4"/>
        <v/>
      </c>
      <c r="L228" s="6">
        <v>26.6</v>
      </c>
      <c r="M228" s="5">
        <v>0.0</v>
      </c>
      <c r="N228" s="6">
        <v>-19.8</v>
      </c>
      <c r="O228" s="8">
        <v>44362.0</v>
      </c>
      <c r="P228" s="7">
        <f t="shared" si="5"/>
        <v>189</v>
      </c>
      <c r="Q228" s="6"/>
      <c r="R228" s="6">
        <v>100.0</v>
      </c>
      <c r="S228" s="8">
        <v>44404.0</v>
      </c>
      <c r="T228" s="8">
        <v>44410.0</v>
      </c>
      <c r="U228" s="6"/>
      <c r="V228" s="5"/>
    </row>
    <row r="229" ht="15.75" customHeight="1">
      <c r="A229" s="4" t="s">
        <v>494</v>
      </c>
      <c r="B229" s="4" t="s">
        <v>495</v>
      </c>
      <c r="C229" s="4" t="s">
        <v>126</v>
      </c>
      <c r="D229" s="5">
        <v>260.0</v>
      </c>
      <c r="E229" s="5">
        <v>1952.0</v>
      </c>
      <c r="F229" s="6">
        <f t="shared" si="1"/>
        <v>7.507692308</v>
      </c>
      <c r="G229" s="5">
        <v>0.0</v>
      </c>
      <c r="H229" s="6">
        <f t="shared" si="2"/>
        <v>0</v>
      </c>
      <c r="I229" s="7" t="str">
        <f t="shared" si="3"/>
        <v/>
      </c>
      <c r="J229" s="6">
        <v>16.6</v>
      </c>
      <c r="K229" s="7" t="str">
        <f t="shared" si="4"/>
        <v/>
      </c>
      <c r="L229" s="6">
        <v>55.9</v>
      </c>
      <c r="M229" s="5">
        <v>1.0</v>
      </c>
      <c r="N229" s="6">
        <v>31.3</v>
      </c>
      <c r="O229" s="8">
        <v>44369.0</v>
      </c>
      <c r="P229" s="7">
        <f t="shared" si="5"/>
        <v>196</v>
      </c>
      <c r="Q229" s="6"/>
      <c r="R229" s="6">
        <v>58.91</v>
      </c>
      <c r="S229" s="8">
        <v>44410.0</v>
      </c>
      <c r="T229" s="8">
        <v>44852.0</v>
      </c>
      <c r="U229" s="6"/>
      <c r="V229" s="5"/>
    </row>
    <row r="230" ht="15.75" customHeight="1">
      <c r="A230" s="4" t="s">
        <v>496</v>
      </c>
      <c r="B230" s="4" t="s">
        <v>497</v>
      </c>
      <c r="C230" s="4" t="s">
        <v>52</v>
      </c>
      <c r="D230" s="5">
        <v>120538.0</v>
      </c>
      <c r="E230" s="5">
        <v>2.6069416E7</v>
      </c>
      <c r="F230" s="6">
        <f t="shared" si="1"/>
        <v>216.2754982</v>
      </c>
      <c r="G230" s="5">
        <v>0.0</v>
      </c>
      <c r="H230" s="6">
        <f t="shared" si="2"/>
        <v>0</v>
      </c>
      <c r="I230" s="7">
        <f t="shared" si="3"/>
        <v>156</v>
      </c>
      <c r="J230" s="6"/>
      <c r="K230" s="7" t="str">
        <f t="shared" si="4"/>
        <v/>
      </c>
      <c r="L230" s="6"/>
      <c r="M230" s="5"/>
      <c r="N230" s="6"/>
      <c r="O230" s="8"/>
      <c r="P230" s="7" t="str">
        <f t="shared" si="5"/>
        <v/>
      </c>
      <c r="Q230" s="6"/>
      <c r="R230" s="6"/>
      <c r="S230" s="8"/>
      <c r="T230" s="8"/>
      <c r="U230" s="6">
        <v>35.3</v>
      </c>
      <c r="V230" s="5"/>
    </row>
    <row r="231" ht="15.75" customHeight="1">
      <c r="A231" s="4" t="s">
        <v>498</v>
      </c>
      <c r="B231" s="4" t="s">
        <v>499</v>
      </c>
      <c r="C231" s="4" t="s">
        <v>129</v>
      </c>
      <c r="D231" s="5">
        <v>314.0</v>
      </c>
      <c r="E231" s="5">
        <v>5401.0</v>
      </c>
      <c r="F231" s="6">
        <f t="shared" si="1"/>
        <v>17.20063694</v>
      </c>
      <c r="G231" s="5">
        <v>0.0</v>
      </c>
      <c r="H231" s="6">
        <f t="shared" si="2"/>
        <v>0</v>
      </c>
      <c r="I231" s="7" t="str">
        <f t="shared" si="3"/>
        <v/>
      </c>
      <c r="J231" s="6">
        <v>-8.9</v>
      </c>
      <c r="K231" s="7" t="str">
        <f t="shared" si="4"/>
        <v/>
      </c>
      <c r="L231" s="6">
        <v>-7.8</v>
      </c>
      <c r="M231" s="5">
        <v>-2.0</v>
      </c>
      <c r="N231" s="6">
        <v>-28.6</v>
      </c>
      <c r="O231" s="8">
        <v>44230.0</v>
      </c>
      <c r="P231" s="7">
        <f t="shared" si="5"/>
        <v>57</v>
      </c>
      <c r="Q231" s="6">
        <v>65.38</v>
      </c>
      <c r="R231" s="6">
        <v>65.38</v>
      </c>
      <c r="S231" s="8">
        <v>44321.0</v>
      </c>
      <c r="T231" s="8"/>
      <c r="U231" s="6"/>
      <c r="V231" s="5"/>
    </row>
    <row r="232" ht="15.75" customHeight="1">
      <c r="A232" s="4" t="s">
        <v>500</v>
      </c>
      <c r="B232" s="4" t="s">
        <v>501</v>
      </c>
      <c r="C232" s="4" t="s">
        <v>126</v>
      </c>
      <c r="D232" s="5">
        <v>12.0</v>
      </c>
      <c r="E232" s="5">
        <v>1893.0</v>
      </c>
      <c r="F232" s="6">
        <f t="shared" si="1"/>
        <v>157.75</v>
      </c>
      <c r="G232" s="5">
        <v>0.0</v>
      </c>
      <c r="H232" s="6">
        <f t="shared" si="2"/>
        <v>0</v>
      </c>
      <c r="I232" s="7" t="str">
        <f t="shared" si="3"/>
        <v/>
      </c>
      <c r="J232" s="6">
        <v>-5.0</v>
      </c>
      <c r="K232" s="7" t="str">
        <f t="shared" si="4"/>
        <v/>
      </c>
      <c r="L232" s="6">
        <v>-7.5</v>
      </c>
      <c r="M232" s="5">
        <v>0.0</v>
      </c>
      <c r="N232" s="6">
        <v>-22.0</v>
      </c>
      <c r="O232" s="8">
        <v>44369.0</v>
      </c>
      <c r="P232" s="7">
        <f t="shared" si="5"/>
        <v>196</v>
      </c>
      <c r="Q232" s="6"/>
      <c r="R232" s="6">
        <v>51.14</v>
      </c>
      <c r="S232" s="8">
        <v>44481.0</v>
      </c>
      <c r="T232" s="8">
        <v>44858.0</v>
      </c>
      <c r="U232" s="6"/>
      <c r="V232" s="5"/>
    </row>
    <row r="233" ht="15.75" customHeight="1">
      <c r="A233" s="4" t="s">
        <v>502</v>
      </c>
      <c r="B233" s="4" t="s">
        <v>503</v>
      </c>
      <c r="C233" s="4" t="s">
        <v>52</v>
      </c>
      <c r="D233" s="5">
        <v>488100.0</v>
      </c>
      <c r="E233" s="5">
        <v>6430777.0</v>
      </c>
      <c r="F233" s="6">
        <f t="shared" si="1"/>
        <v>13.1751219</v>
      </c>
      <c r="G233" s="5">
        <v>0.0</v>
      </c>
      <c r="H233" s="6">
        <f t="shared" si="2"/>
        <v>0</v>
      </c>
      <c r="I233" s="7">
        <f t="shared" si="3"/>
        <v>156</v>
      </c>
      <c r="J233" s="6">
        <v>121.9</v>
      </c>
      <c r="K233" s="7">
        <f t="shared" si="4"/>
        <v>92</v>
      </c>
      <c r="L233" s="6">
        <v>127.4</v>
      </c>
      <c r="M233" s="5">
        <v>11378.0</v>
      </c>
      <c r="N233" s="6">
        <v>191.5</v>
      </c>
      <c r="O233" s="8">
        <v>44255.0</v>
      </c>
      <c r="P233" s="7">
        <f t="shared" si="5"/>
        <v>82</v>
      </c>
      <c r="Q233" s="6">
        <v>0.3</v>
      </c>
      <c r="R233" s="6">
        <v>0.3</v>
      </c>
      <c r="S233" s="8">
        <v>44962.0</v>
      </c>
      <c r="T233" s="8">
        <v>45144.0</v>
      </c>
      <c r="U233" s="6">
        <v>26.9</v>
      </c>
      <c r="V233" s="5">
        <v>16389.023</v>
      </c>
    </row>
    <row r="234" ht="15.75" customHeight="1">
      <c r="A234" s="4" t="s">
        <v>504</v>
      </c>
      <c r="B234" s="4" t="s">
        <v>505</v>
      </c>
      <c r="C234" s="4" t="s">
        <v>39</v>
      </c>
      <c r="D234" s="5">
        <v>0.4</v>
      </c>
      <c r="E234" s="5">
        <v>808.0</v>
      </c>
      <c r="F234" s="6">
        <f t="shared" si="1"/>
        <v>2020</v>
      </c>
      <c r="G234" s="5">
        <v>0.0</v>
      </c>
      <c r="H234" s="6">
        <f t="shared" si="2"/>
        <v>0</v>
      </c>
      <c r="I234" s="7" t="str">
        <f t="shared" si="3"/>
        <v/>
      </c>
      <c r="J234" s="6">
        <v>167.2</v>
      </c>
      <c r="K234" s="7" t="str">
        <f t="shared" si="4"/>
        <v/>
      </c>
      <c r="L234" s="6">
        <v>233.9</v>
      </c>
      <c r="M234" s="5">
        <v>2.0</v>
      </c>
      <c r="N234" s="6">
        <v>202.4</v>
      </c>
      <c r="O234" s="8"/>
      <c r="P234" s="7" t="str">
        <f t="shared" si="5"/>
        <v/>
      </c>
      <c r="Q234" s="6"/>
      <c r="R234" s="6"/>
      <c r="S234" s="8"/>
      <c r="T234" s="8"/>
      <c r="U234" s="6"/>
      <c r="V234" s="5"/>
    </row>
    <row r="235" ht="15.75" customHeight="1">
      <c r="A235" s="4" t="s">
        <v>506</v>
      </c>
      <c r="B235" s="4" t="s">
        <v>507</v>
      </c>
      <c r="C235" s="4" t="s">
        <v>52</v>
      </c>
      <c r="D235" s="5">
        <v>1075.0</v>
      </c>
      <c r="E235" s="5">
        <v>7488863.0</v>
      </c>
      <c r="F235" s="6">
        <f t="shared" si="1"/>
        <v>6966.384186</v>
      </c>
      <c r="G235" s="5"/>
      <c r="H235" s="6" t="str">
        <f t="shared" si="2"/>
        <v/>
      </c>
      <c r="I235" s="7" t="str">
        <f t="shared" si="3"/>
        <v/>
      </c>
      <c r="J235" s="6">
        <v>32.9</v>
      </c>
      <c r="K235" s="7">
        <f t="shared" si="4"/>
        <v>150</v>
      </c>
      <c r="L235" s="6">
        <v>194.4</v>
      </c>
      <c r="M235" s="5">
        <v>20415.0</v>
      </c>
      <c r="N235" s="6">
        <v>272.6</v>
      </c>
      <c r="O235" s="8">
        <v>44249.0</v>
      </c>
      <c r="P235" s="7">
        <f t="shared" si="5"/>
        <v>76</v>
      </c>
      <c r="Q235" s="6">
        <v>19.77</v>
      </c>
      <c r="R235" s="6">
        <v>62.25</v>
      </c>
      <c r="S235" s="8">
        <v>44449.0</v>
      </c>
      <c r="T235" s="8">
        <v>44624.0</v>
      </c>
      <c r="U235" s="6">
        <v>44.8</v>
      </c>
      <c r="V235" s="5">
        <v>56054.92</v>
      </c>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V$235"/>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2</v>
      </c>
    </row>
    <row r="4">
      <c r="A4" s="2" t="s">
        <v>3</v>
      </c>
    </row>
    <row r="5">
      <c r="A5" s="2" t="s">
        <v>4</v>
      </c>
    </row>
    <row r="6">
      <c r="A6" s="2" t="s">
        <v>5</v>
      </c>
    </row>
    <row r="7">
      <c r="A7" s="2"/>
    </row>
    <row r="8">
      <c r="A8" s="1" t="s">
        <v>6</v>
      </c>
    </row>
    <row r="9">
      <c r="A9" s="2" t="s">
        <v>7</v>
      </c>
    </row>
    <row r="10">
      <c r="A10" s="2" t="s">
        <v>9</v>
      </c>
    </row>
    <row r="11">
      <c r="A11" s="2" t="s">
        <v>12</v>
      </c>
    </row>
    <row r="12">
      <c r="A12" s="2" t="s">
        <v>14</v>
      </c>
    </row>
    <row r="13">
      <c r="A13" s="2" t="s">
        <v>16</v>
      </c>
    </row>
    <row r="14">
      <c r="A14" s="2"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